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314 Assignments\314Github\Team307.github.io\FinalVerionVersionFinal\"/>
    </mc:Choice>
  </mc:AlternateContent>
  <xr:revisionPtr revIDLastSave="0" documentId="13_ncr:1_{78247F87-8AE5-401F-BD59-5BFAEE3C9EF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D31" i="1"/>
  <c r="P31" i="1"/>
  <c r="P30" i="1"/>
  <c r="F30" i="1"/>
  <c r="D30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" i="1"/>
  <c r="P29" i="1"/>
  <c r="P20" i="1"/>
  <c r="P21" i="1"/>
  <c r="P22" i="1"/>
  <c r="P23" i="1"/>
  <c r="P24" i="1"/>
  <c r="P25" i="1"/>
  <c r="P26" i="1"/>
  <c r="P27" i="1"/>
  <c r="F29" i="1"/>
  <c r="D29" i="1"/>
  <c r="P28" i="1"/>
  <c r="F28" i="1"/>
  <c r="D28" i="1"/>
  <c r="F27" i="1"/>
  <c r="D27" i="1"/>
  <c r="F26" i="1"/>
  <c r="D26" i="1"/>
  <c r="F25" i="1"/>
  <c r="D25" i="1"/>
  <c r="F24" i="1"/>
  <c r="D24" i="1"/>
  <c r="F23" i="1"/>
  <c r="D23" i="1"/>
  <c r="F22" i="1"/>
  <c r="D22" i="1"/>
  <c r="F21" i="1"/>
  <c r="D21" i="1"/>
  <c r="F20" i="1"/>
  <c r="D20" i="1"/>
  <c r="P13" i="1"/>
  <c r="F13" i="1"/>
  <c r="D13" i="1"/>
  <c r="D14" i="1"/>
  <c r="F14" i="1"/>
  <c r="P14" i="1"/>
  <c r="P5" i="1"/>
  <c r="F5" i="1"/>
  <c r="D5" i="1"/>
  <c r="P3" i="1"/>
  <c r="D3" i="1"/>
  <c r="P19" i="1"/>
  <c r="F19" i="1"/>
  <c r="D19" i="1"/>
  <c r="P18" i="1"/>
  <c r="F18" i="1"/>
  <c r="D18" i="1"/>
  <c r="P17" i="1"/>
  <c r="F17" i="1"/>
  <c r="D17" i="1"/>
  <c r="P16" i="1"/>
  <c r="F16" i="1"/>
  <c r="D16" i="1"/>
  <c r="P15" i="1"/>
  <c r="F15" i="1"/>
  <c r="D15" i="1"/>
  <c r="P12" i="1"/>
  <c r="F12" i="1"/>
  <c r="D12" i="1"/>
  <c r="P11" i="1"/>
  <c r="F11" i="1"/>
  <c r="D11" i="1"/>
  <c r="P10" i="1"/>
  <c r="F10" i="1"/>
  <c r="D10" i="1"/>
  <c r="P9" i="1"/>
  <c r="F9" i="1"/>
  <c r="D9" i="1"/>
  <c r="P8" i="1"/>
  <c r="F8" i="1"/>
  <c r="D8" i="1"/>
  <c r="P7" i="1"/>
  <c r="F7" i="1"/>
  <c r="D7" i="1"/>
  <c r="P6" i="1"/>
  <c r="F6" i="1"/>
  <c r="D6" i="1"/>
  <c r="P4" i="1"/>
  <c r="F4" i="1"/>
  <c r="D4" i="1"/>
  <c r="F3" i="1"/>
</calcChain>
</file>

<file path=xl/sharedStrings.xml><?xml version="1.0" encoding="utf-8"?>
<sst xmlns="http://schemas.openxmlformats.org/spreadsheetml/2006/main" count="248" uniqueCount="127">
  <si>
    <t>Part Name/Description</t>
  </si>
  <si>
    <t>Unit Quantity</t>
  </si>
  <si>
    <t>Unit Prototype Cost</t>
  </si>
  <si>
    <t>Total Prototype Cost</t>
  </si>
  <si>
    <t>Unit Production Cost</t>
  </si>
  <si>
    <t>Total Production Cost</t>
  </si>
  <si>
    <t>Manufacturer</t>
  </si>
  <si>
    <t>Manufacturer Part #</t>
  </si>
  <si>
    <t>Vendor Link</t>
  </si>
  <si>
    <t>Datasheet Link</t>
  </si>
  <si>
    <t>Supplier</t>
  </si>
  <si>
    <t>Supplier Part #</t>
  </si>
  <si>
    <t># Ordered</t>
  </si>
  <si>
    <t>Date Ordered</t>
  </si>
  <si>
    <t># Received</t>
  </si>
  <si>
    <t>Surplus</t>
  </si>
  <si>
    <t>Schematic Reference Designators</t>
  </si>
  <si>
    <t>0.1 µF Ceramic Capacitor, +/-10%, X7R, 50V, 0805 package</t>
  </si>
  <si>
    <t>PRLTA 109</t>
  </si>
  <si>
    <t>DigiKey</t>
  </si>
  <si>
    <t>Keystone Electronics</t>
  </si>
  <si>
    <t>Kycon, Inc.</t>
  </si>
  <si>
    <t>KLDX-0202-A</t>
  </si>
  <si>
    <t>2092-KLDX-0202-A-ND</t>
  </si>
  <si>
    <t>F1</t>
  </si>
  <si>
    <t>Conn_02x04_Pin</t>
  </si>
  <si>
    <t>Inductor 3.3uH</t>
  </si>
  <si>
    <t>100nf (0.1 µF) Ceramic Capacitor, +/-10%, X7R, 50V, 0805 package</t>
  </si>
  <si>
    <t xml:space="preserve">100uF 50 V Aluminum Electrolytic Capacitor </t>
  </si>
  <si>
    <t xml:space="preserve">330uF 10 V Aluminum Electrolytic Capacitor </t>
  </si>
  <si>
    <t>10uF 10V Ceramic Capacitors</t>
  </si>
  <si>
    <t>22uF 4 Volts Ceramic Capacitor</t>
  </si>
  <si>
    <t>Green LEDs, LTST-C150GKT</t>
  </si>
  <si>
    <t>Schotty Diode</t>
  </si>
  <si>
    <t>Fuse Holder</t>
  </si>
  <si>
    <t>Inductor 220uH</t>
  </si>
  <si>
    <t>4.75 kOhms 0.125W, 1/8W Resistor 0805</t>
  </si>
  <si>
    <t xml:space="preserve">330 Ohms 0.1W 1/10w Resistor 0805 </t>
  </si>
  <si>
    <t>10 kOhm 1/10W Resistor 0805</t>
  </si>
  <si>
    <t>30 kOhms 1/8W Resistor 0805</t>
  </si>
  <si>
    <t>20 kOhms 1/16W Resistor 0805</t>
  </si>
  <si>
    <t>220 kOhms 1/16W Resistor 0805</t>
  </si>
  <si>
    <t>Switch Tactile 0.05A 12V</t>
  </si>
  <si>
    <t>AS5600 Hall Effect</t>
  </si>
  <si>
    <t>AS5600L Hall Effect</t>
  </si>
  <si>
    <t>Esp32-S3-Wroom-N4</t>
  </si>
  <si>
    <t>TPS56524DRLR</t>
  </si>
  <si>
    <t>LM2575T-3.3G</t>
  </si>
  <si>
    <t>Coilcraft</t>
  </si>
  <si>
    <t>XAL4030-332MEC</t>
  </si>
  <si>
    <t>Digikey</t>
  </si>
  <si>
    <t>2457-XAL4030-332MEC-ND</t>
  </si>
  <si>
    <t>Samsung Electro-Mechanics</t>
  </si>
  <si>
    <t>CL21F104ZAANNNC</t>
  </si>
  <si>
    <t>1276-1286-2-ND</t>
  </si>
  <si>
    <t>Panasonic Electronic Components</t>
  </si>
  <si>
    <t>EEE-HA1H101P</t>
  </si>
  <si>
    <t>PCE4210TR-ND</t>
  </si>
  <si>
    <t>EEE-1AA331P</t>
  </si>
  <si>
    <t>PCE3874TR-ND</t>
  </si>
  <si>
    <t>Taiyo Yuden</t>
  </si>
  <si>
    <t>LMK212BJ106KG-T</t>
  </si>
  <si>
    <t>587-1300-2-ND</t>
  </si>
  <si>
    <t>Murata Electronics</t>
  </si>
  <si>
    <t>GRM188R60G226MEA0D</t>
  </si>
  <si>
    <t>490-5526-2-ND</t>
  </si>
  <si>
    <t>Lite-On Inc.</t>
  </si>
  <si>
    <t>LTST-C150GKT</t>
  </si>
  <si>
    <t>160-1169-2-ND</t>
  </si>
  <si>
    <t>Vishay General Semiconductor - Diodes Division</t>
  </si>
  <si>
    <t>MSS1P4-M3/89A</t>
  </si>
  <si>
    <t>MSS1P4-M3/89AGITR-ND</t>
  </si>
  <si>
    <t>36-3588-ND</t>
  </si>
  <si>
    <t>PRLTA 110</t>
  </si>
  <si>
    <t>Eaton - Electronics Division</t>
  </si>
  <si>
    <t>DR124-221-R</t>
  </si>
  <si>
    <t>283-DR124-221-RTR-ND</t>
  </si>
  <si>
    <t>ams-OSRAM USA INC.</t>
  </si>
  <si>
    <t>AS5600L-ASOM SOIC8 LF T&amp;RDP</t>
  </si>
  <si>
    <t>AS5600-ASOM SOIC8 LF T&amp;RDP</t>
  </si>
  <si>
    <t>Espressif Systems</t>
  </si>
  <si>
    <t>ESP32-S3-WROOM-1-N4</t>
  </si>
  <si>
    <t>Texas Instruments</t>
  </si>
  <si>
    <t>TPS565242DRLR</t>
  </si>
  <si>
    <t>296-TPS565242DRLRTR-ND</t>
  </si>
  <si>
    <t>onsemi</t>
  </si>
  <si>
    <t>Micro-B USB Connector</t>
  </si>
  <si>
    <t>GCT</t>
  </si>
  <si>
    <t>USB3131-30-0230-A</t>
  </si>
  <si>
    <t>Barrel Jack Switch</t>
  </si>
  <si>
    <t>Bill Of Materials: 3D Positioning</t>
  </si>
  <si>
    <t>C1,C2,C3,C4</t>
  </si>
  <si>
    <t>C5,C6C15</t>
  </si>
  <si>
    <t>C7</t>
  </si>
  <si>
    <t>C8</t>
  </si>
  <si>
    <t>C9,C10,C11</t>
  </si>
  <si>
    <t>C12,C13,C14</t>
  </si>
  <si>
    <t>D1,D2,D3,D4</t>
  </si>
  <si>
    <t>D5,D6</t>
  </si>
  <si>
    <t>J1,J2</t>
  </si>
  <si>
    <t>J3,J4</t>
  </si>
  <si>
    <t>L1</t>
  </si>
  <si>
    <t>L</t>
  </si>
  <si>
    <t>R1,R2,R3,R4,R5,R6,R7,R8</t>
  </si>
  <si>
    <t>R9,R10,R11,R12</t>
  </si>
  <si>
    <t>R13,R14</t>
  </si>
  <si>
    <t>R15,16</t>
  </si>
  <si>
    <t>R17</t>
  </si>
  <si>
    <t>R18</t>
  </si>
  <si>
    <t>SW1,SW2</t>
  </si>
  <si>
    <t>U1,U3</t>
  </si>
  <si>
    <t>U2,U4</t>
  </si>
  <si>
    <t>U5</t>
  </si>
  <si>
    <t>U6</t>
  </si>
  <si>
    <t>U8</t>
  </si>
  <si>
    <t>U7</t>
  </si>
  <si>
    <t>U9</t>
  </si>
  <si>
    <t>Conn_0x02_Pin</t>
  </si>
  <si>
    <t>JP1</t>
  </si>
  <si>
    <t>Test  Points</t>
  </si>
  <si>
    <t>KOA Speer Electronics, Inc.</t>
  </si>
  <si>
    <t>2019-RCWCTETR-ND</t>
  </si>
  <si>
    <t>RCWCTE</t>
  </si>
  <si>
    <t>TP 1-31</t>
  </si>
  <si>
    <t>Servos (1142)</t>
  </si>
  <si>
    <t>Adafruit Industries LLC</t>
  </si>
  <si>
    <t>1528-1083-ND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</si>
</sst>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0"/>
      <color rgb="FF000000"/>
      <name val="Arial"/>
    </font>
    <font>
      <b/>
      <sz val="2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theme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14" fontId="3" fillId="0" borderId="0" xfId="0" applyNumberFormat="1" applyFont="1"/>
    <xf numFmtId="0" fontId="4" fillId="0" borderId="0" xfId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1" applyFill="1"/>
    <xf numFmtId="0" fontId="1" fillId="0" borderId="0" xfId="0" applyFont="1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vishay-general-semiconductor-diodes-division/MSS1P4-M3-89A/2071753" TargetMode="External"/><Relationship Id="rId18" Type="http://schemas.openxmlformats.org/officeDocument/2006/relationships/hyperlink" Target="https://www.digikey.com/en/products/detail/koa-speer-electronics-inc/RK73H1JTTD1002F/9844954" TargetMode="External"/><Relationship Id="rId26" Type="http://schemas.openxmlformats.org/officeDocument/2006/relationships/hyperlink" Target="https://www.digikey.com/en/products/detail/same-sky-formerly-cui-devices-/TS02-66-55-BK-160-LCR-D/15634374?gclsrc=aw.ds&amp;gad_source=4&amp;gad_campaignid=20243136172&amp;gbraid=0AAAAADrbLljsnmDGCFuAiC1grmX0Aq6JO&amp;gclid=Cj0KCQjwvJHIBhCgARIsAEQnWlBKb2qSYTIOJMJ3dSsYq6wFadPFjeeR35w2M5iRSvexhgTRGYU0-P4aAmVFEALw_wcB" TargetMode="External"/><Relationship Id="rId39" Type="http://schemas.openxmlformats.org/officeDocument/2006/relationships/hyperlink" Target="https://yageogroup.com/content/datasheet/asset/file/PYU-RC_GROUP_51_ROHS_L" TargetMode="External"/><Relationship Id="rId21" Type="http://schemas.openxmlformats.org/officeDocument/2006/relationships/hyperlink" Target="https://optoelectronics.liteon.com/upload/download/DS-22-98-0004/LTST-C150GKT.pdf" TargetMode="External"/><Relationship Id="rId34" Type="http://schemas.openxmlformats.org/officeDocument/2006/relationships/hyperlink" Target="https://www.digikey.com/en/products/detail/koa-speer-electronics-inc/RK73H1ETTP3300F/9844096" TargetMode="External"/><Relationship Id="rId42" Type="http://schemas.openxmlformats.org/officeDocument/2006/relationships/hyperlink" Target="https://www.digikey.com/en/products/detail/ams-osram-usa-inc/AS5600L-ASOM-SOIC8-LF-T-RDP/10324317?s=N4IgTCBcDaIIIGUCsA2ADGgtAG0QeQFkBhAFUwDkAREAXQF8g" TargetMode="External"/><Relationship Id="rId47" Type="http://schemas.openxmlformats.org/officeDocument/2006/relationships/hyperlink" Target="https://documentation.espressif.com/esp32-s3-wroom-1_wroom-1u_datasheet_en.pdf" TargetMode="External"/><Relationship Id="rId50" Type="http://schemas.openxmlformats.org/officeDocument/2006/relationships/hyperlink" Target="https://www.digikey.com/en/products/detail/onsemi/LM2575T-3-3G/1476700?s=N4IgTCBcDaIDIFkwFYDsyAqBaAzAOhwHEB5AZSwDkAREAXQF8g" TargetMode="External"/><Relationship Id="rId55" Type="http://schemas.openxmlformats.org/officeDocument/2006/relationships/hyperlink" Target="https://www.kycon.com/Catalog_PDF/KLDX_0202.pdf" TargetMode="External"/><Relationship Id="rId7" Type="http://schemas.openxmlformats.org/officeDocument/2006/relationships/hyperlink" Target="https://www.eaton.com/content/dam/eaton/products/electronic-components/resources/data-sheet/eaton-dr124-shielded-drum-core-power-inductors-data-sheet.pdf" TargetMode="External"/><Relationship Id="rId2" Type="http://schemas.openxmlformats.org/officeDocument/2006/relationships/hyperlink" Target="https://www.digikey.com/en/products/detail/panasonic-electronic-components/EEE-1AA331P/766041" TargetMode="External"/><Relationship Id="rId16" Type="http://schemas.openxmlformats.org/officeDocument/2006/relationships/hyperlink" Target="https://weblib.samsungsem.com/mlcc/mlcc-ec-data-sheet.do?partNumber=CL05Y105KP6VPN" TargetMode="External"/><Relationship Id="rId29" Type="http://schemas.openxmlformats.org/officeDocument/2006/relationships/hyperlink" Target="https://www.coilcraft.com/getmedia/6adcb47d-8b55-416c-976e-1e22e0d2848c/xal4000.pdf" TargetMode="External"/><Relationship Id="rId11" Type="http://schemas.openxmlformats.org/officeDocument/2006/relationships/hyperlink" Target="https://www.digikey.com/en/products/detail/stackpole-electronics-inc/RMCF0805FT30K0/1760543" TargetMode="External"/><Relationship Id="rId24" Type="http://schemas.openxmlformats.org/officeDocument/2006/relationships/hyperlink" Target="https://mm.digikey.com/Volume0/opasdata/d220001/medias/docus/8412/MLCCTYdownload.pdf" TargetMode="External"/><Relationship Id="rId32" Type="http://schemas.openxmlformats.org/officeDocument/2006/relationships/hyperlink" Target="https://industrial.panasonic.com/cdbs/www-data/pdf/RDE0000/ABA0000C1151.pdf" TargetMode="External"/><Relationship Id="rId37" Type="http://schemas.openxmlformats.org/officeDocument/2006/relationships/hyperlink" Target="https://yageogroup.com/content/datasheet/asset/file/PYU-RC_GROUP_51_ROHS_L" TargetMode="External"/><Relationship Id="rId40" Type="http://schemas.openxmlformats.org/officeDocument/2006/relationships/hyperlink" Target="https://www.digikey.com/en/products/detail/c-k/PTS647SM38SMTR2-LFS/9649861" TargetMode="External"/><Relationship Id="rId45" Type="http://schemas.openxmlformats.org/officeDocument/2006/relationships/hyperlink" Target="https://look.ams-osram.com/m/7059eac7531a86fd/original/AS5600-DS000365.pdf" TargetMode="External"/><Relationship Id="rId53" Type="http://schemas.openxmlformats.org/officeDocument/2006/relationships/hyperlink" Target="https://gct.co/files/specs/usb3131-spec.pdf" TargetMode="External"/><Relationship Id="rId58" Type="http://schemas.openxmlformats.org/officeDocument/2006/relationships/hyperlink" Target="https://www.digikey.com/en/products/detail/koa-speer-electronics-inc/RCWCTE/11476558" TargetMode="External"/><Relationship Id="rId5" Type="http://schemas.openxmlformats.org/officeDocument/2006/relationships/hyperlink" Target="https://www.keyelco.com/userAssets/file/K75p49.pdf" TargetMode="External"/><Relationship Id="rId19" Type="http://schemas.openxmlformats.org/officeDocument/2006/relationships/hyperlink" Target="https://www.vishay.com/docs/89019/mss1p4.pdf" TargetMode="External"/><Relationship Id="rId4" Type="http://schemas.openxmlformats.org/officeDocument/2006/relationships/hyperlink" Target="https://www.digikey.com/en/products/detail/keystone-electronics/3588/2137308" TargetMode="External"/><Relationship Id="rId9" Type="http://schemas.openxmlformats.org/officeDocument/2006/relationships/hyperlink" Target="https://www.meritekusa.com/wp-content/uploads/2018/06/Standard-Chip-Resistor-CR-Series.pdf" TargetMode="External"/><Relationship Id="rId14" Type="http://schemas.openxmlformats.org/officeDocument/2006/relationships/hyperlink" Target="https://www.digikey.com/en/products/detail/murata-electronics/GRM188R60G226MEA0D/2334877" TargetMode="External"/><Relationship Id="rId22" Type="http://schemas.openxmlformats.org/officeDocument/2006/relationships/hyperlink" Target="https://www.koaspeer.com/pdfs/RK73H.pdf" TargetMode="External"/><Relationship Id="rId27" Type="http://schemas.openxmlformats.org/officeDocument/2006/relationships/hyperlink" Target="https://www.sameskydevices.com/product/resource/ts02.pdf" TargetMode="External"/><Relationship Id="rId30" Type="http://schemas.openxmlformats.org/officeDocument/2006/relationships/hyperlink" Target="https://www.digikey.com/en/products/detail/samsung-electro-mechanics/CL21F104ZAANNNC/3886944?s=N4IgTCBcDaIMYBswEYBmyAMAWAXgQzwDti4QBdAXyA" TargetMode="External"/><Relationship Id="rId35" Type="http://schemas.openxmlformats.org/officeDocument/2006/relationships/hyperlink" Target="https://www.digikey.com/en/products/detail/stackpole-electronics-inc/RMCF0805FT30K0/1760543" TargetMode="External"/><Relationship Id="rId43" Type="http://schemas.openxmlformats.org/officeDocument/2006/relationships/hyperlink" Target="https://look.ams-osram.com/m/7059eac7531a86fd/original/AS5600-DS000365.pdf" TargetMode="External"/><Relationship Id="rId48" Type="http://schemas.openxmlformats.org/officeDocument/2006/relationships/hyperlink" Target="https://www.digikey.com/en/products/detail/texas-instruments/TPS565242DRLR/16585745?utm_source=chatgpt.com" TargetMode="External"/><Relationship Id="rId56" Type="http://schemas.openxmlformats.org/officeDocument/2006/relationships/hyperlink" Target="https://www.digikey.com/en/products/detail/samtec-inc/TS-132-T-A/1105462" TargetMode="External"/><Relationship Id="rId8" Type="http://schemas.openxmlformats.org/officeDocument/2006/relationships/hyperlink" Target="https://www.digikey.com/en/products/detail/meritek/CR104751F/13408826" TargetMode="External"/><Relationship Id="rId51" Type="http://schemas.openxmlformats.org/officeDocument/2006/relationships/hyperlink" Target="https://www.onsemi.com/pdf/datasheet/lm2575-d.pdf" TargetMode="External"/><Relationship Id="rId3" Type="http://schemas.openxmlformats.org/officeDocument/2006/relationships/hyperlink" Target="https://mm.digikey.com/Volume0/opasdata/d220001/medias/docus/2172/S_Series%2CType_V_Rev2018.pdf" TargetMode="External"/><Relationship Id="rId12" Type="http://schemas.openxmlformats.org/officeDocument/2006/relationships/hyperlink" Target="https://www.digikey.com/en/products/detail/stackpole-electronics-inc/RMCF0805FT30K0/1760543" TargetMode="External"/><Relationship Id="rId17" Type="http://schemas.openxmlformats.org/officeDocument/2006/relationships/hyperlink" Target="https://www.digikey.com/en/products/detail/samsung-electro-mechanics/CL21F104ZAANNNC/3886944?s=N4IgTCBcDaIMYBswEYBmyAMAWAXgQzwDti4QBdAXyA" TargetMode="External"/><Relationship Id="rId25" Type="http://schemas.openxmlformats.org/officeDocument/2006/relationships/hyperlink" Target="https://www.digikey.com/en/products/detail/panasonic-electronic-components/EEE-HA1H101P/814182" TargetMode="External"/><Relationship Id="rId33" Type="http://schemas.openxmlformats.org/officeDocument/2006/relationships/hyperlink" Target="https://www.digikey.com/en/products/detail/adafruit-industries-llc/1142/5154658?s=N4IgTCBcDaILIHECcSCsIC6BfIA" TargetMode="External"/><Relationship Id="rId38" Type="http://schemas.openxmlformats.org/officeDocument/2006/relationships/hyperlink" Target="https://www.digikey.com/en/products/detail/yageo/RC0402FR-07220KL/726564" TargetMode="External"/><Relationship Id="rId46" Type="http://schemas.openxmlformats.org/officeDocument/2006/relationships/hyperlink" Target="https://www.digikey.com/en/products/detail/espressif-systems/ESP32-S3-WROOM-1-N4/16162639" TargetMode="External"/><Relationship Id="rId59" Type="http://schemas.openxmlformats.org/officeDocument/2006/relationships/hyperlink" Target="https://www.koaspeer.com/pdfs/RC.pdf" TargetMode="External"/><Relationship Id="rId20" Type="http://schemas.openxmlformats.org/officeDocument/2006/relationships/hyperlink" Target="https://www.digikey.com/en/products/detail/liteon/LTST-C150GKT/269216" TargetMode="External"/><Relationship Id="rId41" Type="http://schemas.openxmlformats.org/officeDocument/2006/relationships/hyperlink" Target="https://www.ckswitches.com/media/2567/pts647.pdf" TargetMode="External"/><Relationship Id="rId54" Type="http://schemas.openxmlformats.org/officeDocument/2006/relationships/hyperlink" Target="https://www.digikey.com/en/products/detail/kycon-inc/KLDX-0202-A/9975992" TargetMode="External"/><Relationship Id="rId1" Type="http://schemas.openxmlformats.org/officeDocument/2006/relationships/hyperlink" Target="https://www.digikey.com/en/products/detail/coilcraft/XAL4030-332MEC/21381756" TargetMode="External"/><Relationship Id="rId6" Type="http://schemas.openxmlformats.org/officeDocument/2006/relationships/hyperlink" Target="https://www.digikey.com/en/products/detail/eaton-electronics-division/DR124-221-R/1555470?s=N4IgjCBcoGwJxVAYygMwIYBsDOBTANCAPZQDaIALAAxwDMdIAuoQA4AuUIAymwE4CWAOwDmIAL6FaYCohApIGHAWJkQAJhi0A7AA5aTVh0jc%2BQ0RPVUdO2e04BVQfzYB5VAFlc6bAFdeuEEIfTgBBQJAAWyFOCAsAWhhZeT4fZRJIcn1CNSZ4nOg5KBS01QBWXIt88jU1Kh8ACQACAElBABMfJDYiXgMQcoKWKDBWIcg1UrExIA" TargetMode="External"/><Relationship Id="rId15" Type="http://schemas.openxmlformats.org/officeDocument/2006/relationships/hyperlink" Target="https://search.murata.co.jp/Ceramy/image/img/A01X/G101/ENG/GRM188R60G226MEA0-01.pdf" TargetMode="External"/><Relationship Id="rId23" Type="http://schemas.openxmlformats.org/officeDocument/2006/relationships/hyperlink" Target="https://www.digikey.com/en/products/detail/taiyo-yuden/LMK212BJ106KG-T/930652" TargetMode="External"/><Relationship Id="rId28" Type="http://schemas.openxmlformats.org/officeDocument/2006/relationships/hyperlink" Target="https://mm.digikey.com/Volume0/opasdata/d220001/medias/docus/2203/1142_Web.pdf" TargetMode="External"/><Relationship Id="rId36" Type="http://schemas.openxmlformats.org/officeDocument/2006/relationships/hyperlink" Target="https://www.digikey.com/en/products/detail/yageo/RC0402FR-0720KL/726557" TargetMode="External"/><Relationship Id="rId49" Type="http://schemas.openxmlformats.org/officeDocument/2006/relationships/hyperlink" Target="https://www.ti.com/lit/ds/symlink/tps565242.pdf" TargetMode="External"/><Relationship Id="rId57" Type="http://schemas.openxmlformats.org/officeDocument/2006/relationships/hyperlink" Target="https://mm.digikey.com/Volume0/opasdata/d220001/medias/docus/6129/tx-1xx-x-x-mkt1.pdf" TargetMode="External"/><Relationship Id="rId10" Type="http://schemas.openxmlformats.org/officeDocument/2006/relationships/hyperlink" Target="https://www.koaspeer.com/pdfs/RK73H.pdf" TargetMode="External"/><Relationship Id="rId31" Type="http://schemas.openxmlformats.org/officeDocument/2006/relationships/hyperlink" Target="https://weblib.samsungsem.com/mlcc/mlcc-ec-data-sheet.do?partNumber=CL05Y105KP6VPN" TargetMode="External"/><Relationship Id="rId44" Type="http://schemas.openxmlformats.org/officeDocument/2006/relationships/hyperlink" Target="https://www.digikey.com/en/products/detail/ams-osram-usa-inc/AS5600-ASOM-SOIC8-LF-T-RDP/4914332?s=N4IgTCBcDaIIIGUCsA2ADGgtIg8gWQGEAVTAOQBEQBdAXyA" TargetMode="External"/><Relationship Id="rId52" Type="http://schemas.openxmlformats.org/officeDocument/2006/relationships/hyperlink" Target="https://www.digikey.com/en/products/detail/gct/USB3131-30-0230-A/9859642" TargetMode="External"/><Relationship Id="rId6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Q103"/>
  <sheetViews>
    <sheetView tabSelected="1" zoomScale="85" zoomScaleNormal="85" workbookViewId="0">
      <selection activeCell="L37" sqref="L37"/>
    </sheetView>
  </sheetViews>
  <sheetFormatPr defaultColWidth="12.5546875" defaultRowHeight="15.75" customHeight="1" x14ac:dyDescent="0.25"/>
  <cols>
    <col min="1" max="1" width="47.44140625" customWidth="1"/>
    <col min="2" max="2" width="11" customWidth="1"/>
    <col min="3" max="3" width="16" customWidth="1"/>
    <col min="4" max="4" width="16.88671875" customWidth="1"/>
    <col min="5" max="5" width="17.109375" customWidth="1"/>
    <col min="6" max="6" width="17.88671875" customWidth="1"/>
    <col min="7" max="7" width="17.77734375" bestFit="1" customWidth="1"/>
    <col min="8" max="8" width="19.77734375" bestFit="1" customWidth="1"/>
    <col min="9" max="10" width="16" customWidth="1"/>
    <col min="11" max="11" width="9.33203125" customWidth="1"/>
    <col min="12" max="12" width="12.44140625" customWidth="1"/>
    <col min="13" max="13" width="8.44140625" customWidth="1"/>
    <col min="14" max="14" width="11" customWidth="1"/>
    <col min="15" max="15" width="9.44140625" customWidth="1"/>
    <col min="16" max="16" width="6.88671875" customWidth="1"/>
    <col min="17" max="17" width="37.21875" bestFit="1" customWidth="1"/>
  </cols>
  <sheetData>
    <row r="1" spans="1:17" ht="30" x14ac:dyDescent="0.5">
      <c r="A1" s="10" t="s">
        <v>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ht="15.75" customHeight="1" x14ac:dyDescent="0.25">
      <c r="A3" s="2" t="s">
        <v>26</v>
      </c>
      <c r="B3" s="3">
        <v>1</v>
      </c>
      <c r="C3" s="4">
        <v>3.15</v>
      </c>
      <c r="D3" s="4">
        <f>B3*C3</f>
        <v>3.15</v>
      </c>
      <c r="E3" s="4">
        <v>3.15</v>
      </c>
      <c r="F3" s="4">
        <f t="shared" ref="F3:F18" si="0">B3*E3</f>
        <v>3.15</v>
      </c>
      <c r="G3" s="2" t="s">
        <v>48</v>
      </c>
      <c r="H3" s="2" t="s">
        <v>49</v>
      </c>
      <c r="I3" s="6" t="s">
        <v>50</v>
      </c>
      <c r="J3" s="6" t="s">
        <v>9</v>
      </c>
      <c r="K3" s="2" t="s">
        <v>19</v>
      </c>
      <c r="L3" s="2" t="s">
        <v>51</v>
      </c>
      <c r="M3" s="2">
        <v>3</v>
      </c>
      <c r="N3" s="5">
        <f>DATE(2026,3,6)</f>
        <v>46087</v>
      </c>
      <c r="O3" s="2">
        <v>0</v>
      </c>
      <c r="P3" s="3">
        <f>O3-B3</f>
        <v>-1</v>
      </c>
      <c r="Q3" s="2" t="s">
        <v>102</v>
      </c>
    </row>
    <row r="4" spans="1:17" ht="15.75" customHeight="1" x14ac:dyDescent="0.25">
      <c r="A4" s="2" t="s">
        <v>27</v>
      </c>
      <c r="B4" s="3">
        <v>4</v>
      </c>
      <c r="C4" s="4">
        <v>0.1</v>
      </c>
      <c r="D4" s="4">
        <f t="shared" ref="D4:D18" si="1">B4*C4</f>
        <v>0.4</v>
      </c>
      <c r="E4" s="4">
        <v>0.1</v>
      </c>
      <c r="F4" s="4">
        <f t="shared" si="0"/>
        <v>0.4</v>
      </c>
      <c r="G4" s="2" t="s">
        <v>52</v>
      </c>
      <c r="H4" s="2" t="s">
        <v>53</v>
      </c>
      <c r="I4" s="6" t="s">
        <v>19</v>
      </c>
      <c r="J4" s="6" t="s">
        <v>9</v>
      </c>
      <c r="K4" s="2" t="s">
        <v>19</v>
      </c>
      <c r="L4" s="2" t="s">
        <v>54</v>
      </c>
      <c r="M4" s="2">
        <v>5</v>
      </c>
      <c r="N4" s="5">
        <f t="shared" ref="N4:N29" si="2">DATE(2026,3,6)</f>
        <v>46087</v>
      </c>
      <c r="O4" s="2">
        <v>0</v>
      </c>
      <c r="P4" s="3">
        <f t="shared" ref="P4:P18" si="3">O4-B4</f>
        <v>-4</v>
      </c>
      <c r="Q4" s="2" t="s">
        <v>91</v>
      </c>
    </row>
    <row r="5" spans="1:17" ht="15.75" customHeight="1" x14ac:dyDescent="0.25">
      <c r="A5" s="2" t="s">
        <v>17</v>
      </c>
      <c r="B5" s="3">
        <v>5</v>
      </c>
      <c r="C5" s="4">
        <v>0.1</v>
      </c>
      <c r="D5" s="4">
        <f>B5*C5</f>
        <v>0.5</v>
      </c>
      <c r="E5" s="4">
        <v>0.1</v>
      </c>
      <c r="F5" s="4">
        <f>B5*E5</f>
        <v>0.5</v>
      </c>
      <c r="G5" s="2" t="s">
        <v>52</v>
      </c>
      <c r="H5" s="2" t="s">
        <v>53</v>
      </c>
      <c r="I5" s="6" t="s">
        <v>19</v>
      </c>
      <c r="J5" s="6" t="s">
        <v>9</v>
      </c>
      <c r="K5" s="2" t="s">
        <v>19</v>
      </c>
      <c r="L5" s="2" t="s">
        <v>54</v>
      </c>
      <c r="M5" s="2">
        <v>5</v>
      </c>
      <c r="N5" s="5">
        <f t="shared" si="2"/>
        <v>46087</v>
      </c>
      <c r="O5" s="2">
        <v>0</v>
      </c>
      <c r="P5" s="3">
        <f>O5-B5</f>
        <v>-5</v>
      </c>
      <c r="Q5" s="2" t="s">
        <v>92</v>
      </c>
    </row>
    <row r="6" spans="1:17" ht="15.75" customHeight="1" x14ac:dyDescent="0.25">
      <c r="A6" s="2" t="s">
        <v>28</v>
      </c>
      <c r="B6" s="3">
        <v>1</v>
      </c>
      <c r="C6" s="4">
        <v>0.75</v>
      </c>
      <c r="D6" s="4">
        <f t="shared" si="1"/>
        <v>0.75</v>
      </c>
      <c r="E6" s="4">
        <v>0.75</v>
      </c>
      <c r="F6" s="4">
        <f t="shared" si="0"/>
        <v>0.75</v>
      </c>
      <c r="G6" s="2" t="s">
        <v>55</v>
      </c>
      <c r="H6" s="2" t="s">
        <v>56</v>
      </c>
      <c r="I6" s="6" t="s">
        <v>19</v>
      </c>
      <c r="J6" s="6" t="s">
        <v>9</v>
      </c>
      <c r="K6" s="2" t="s">
        <v>19</v>
      </c>
      <c r="L6" s="2" t="s">
        <v>57</v>
      </c>
      <c r="M6" s="2">
        <v>3</v>
      </c>
      <c r="N6" s="5">
        <f t="shared" si="2"/>
        <v>46087</v>
      </c>
      <c r="O6" s="2">
        <v>0</v>
      </c>
      <c r="P6" s="3">
        <f t="shared" si="3"/>
        <v>-1</v>
      </c>
      <c r="Q6" s="2" t="s">
        <v>93</v>
      </c>
    </row>
    <row r="7" spans="1:17" ht="15.75" customHeight="1" x14ac:dyDescent="0.25">
      <c r="A7" s="2" t="s">
        <v>29</v>
      </c>
      <c r="B7" s="3">
        <v>1</v>
      </c>
      <c r="C7" s="4">
        <v>0.66</v>
      </c>
      <c r="D7" s="4">
        <f t="shared" si="1"/>
        <v>0.66</v>
      </c>
      <c r="E7" s="4">
        <v>0.66</v>
      </c>
      <c r="F7" s="4">
        <f t="shared" si="0"/>
        <v>0.66</v>
      </c>
      <c r="G7" s="2" t="s">
        <v>55</v>
      </c>
      <c r="H7" s="2" t="s">
        <v>58</v>
      </c>
      <c r="I7" s="6" t="s">
        <v>19</v>
      </c>
      <c r="J7" s="6" t="s">
        <v>9</v>
      </c>
      <c r="K7" s="2" t="s">
        <v>19</v>
      </c>
      <c r="L7" s="2" t="s">
        <v>59</v>
      </c>
      <c r="M7" s="2">
        <v>3</v>
      </c>
      <c r="N7" s="5">
        <f t="shared" si="2"/>
        <v>46087</v>
      </c>
      <c r="O7" s="2">
        <v>0</v>
      </c>
      <c r="P7" s="3">
        <f t="shared" si="3"/>
        <v>-1</v>
      </c>
      <c r="Q7" s="2" t="s">
        <v>94</v>
      </c>
    </row>
    <row r="8" spans="1:17" ht="15.75" customHeight="1" x14ac:dyDescent="0.25">
      <c r="A8" s="2" t="s">
        <v>30</v>
      </c>
      <c r="B8" s="3">
        <v>3</v>
      </c>
      <c r="C8" s="4">
        <v>0.08</v>
      </c>
      <c r="D8" s="4">
        <f t="shared" si="1"/>
        <v>0.24</v>
      </c>
      <c r="E8" s="4">
        <v>0.08</v>
      </c>
      <c r="F8" s="4">
        <f t="shared" si="0"/>
        <v>0.24</v>
      </c>
      <c r="G8" s="2" t="s">
        <v>60</v>
      </c>
      <c r="H8" s="8" t="s">
        <v>61</v>
      </c>
      <c r="I8" s="9" t="s">
        <v>19</v>
      </c>
      <c r="J8" s="9" t="s">
        <v>9</v>
      </c>
      <c r="K8" s="2" t="s">
        <v>19</v>
      </c>
      <c r="L8" s="2" t="s">
        <v>62</v>
      </c>
      <c r="M8" s="2">
        <v>5</v>
      </c>
      <c r="N8" s="5">
        <f t="shared" si="2"/>
        <v>46087</v>
      </c>
      <c r="O8" s="2">
        <v>0</v>
      </c>
      <c r="P8" s="3">
        <f t="shared" si="3"/>
        <v>-3</v>
      </c>
      <c r="Q8" s="2" t="s">
        <v>95</v>
      </c>
    </row>
    <row r="9" spans="1:17" ht="15.75" customHeight="1" x14ac:dyDescent="0.25">
      <c r="A9" s="2" t="s">
        <v>31</v>
      </c>
      <c r="B9" s="3">
        <v>3</v>
      </c>
      <c r="C9" s="4">
        <v>0.12</v>
      </c>
      <c r="D9" s="4">
        <f t="shared" si="1"/>
        <v>0.36</v>
      </c>
      <c r="E9" s="4">
        <v>0.12</v>
      </c>
      <c r="F9" s="4">
        <f t="shared" si="0"/>
        <v>0.36</v>
      </c>
      <c r="G9" s="2" t="s">
        <v>63</v>
      </c>
      <c r="H9" s="2" t="s">
        <v>64</v>
      </c>
      <c r="I9" s="6" t="s">
        <v>19</v>
      </c>
      <c r="J9" s="6" t="s">
        <v>9</v>
      </c>
      <c r="K9" s="2" t="s">
        <v>19</v>
      </c>
      <c r="L9" s="2" t="s">
        <v>65</v>
      </c>
      <c r="M9" s="2">
        <v>6</v>
      </c>
      <c r="N9" s="5">
        <f t="shared" si="2"/>
        <v>46087</v>
      </c>
      <c r="O9" s="2">
        <v>0</v>
      </c>
      <c r="P9" s="3">
        <f t="shared" si="3"/>
        <v>-3</v>
      </c>
      <c r="Q9" s="2" t="s">
        <v>96</v>
      </c>
    </row>
    <row r="10" spans="1:17" ht="15.75" customHeight="1" x14ac:dyDescent="0.25">
      <c r="A10" s="2" t="s">
        <v>32</v>
      </c>
      <c r="B10" s="3">
        <v>4</v>
      </c>
      <c r="C10" s="4">
        <v>0.15</v>
      </c>
      <c r="D10" s="4">
        <f t="shared" si="1"/>
        <v>0.6</v>
      </c>
      <c r="E10" s="4">
        <v>0.15</v>
      </c>
      <c r="F10" s="4">
        <f t="shared" si="0"/>
        <v>0.6</v>
      </c>
      <c r="G10" s="2" t="s">
        <v>66</v>
      </c>
      <c r="H10" s="2" t="s">
        <v>67</v>
      </c>
      <c r="I10" s="6" t="s">
        <v>19</v>
      </c>
      <c r="J10" s="6" t="s">
        <v>9</v>
      </c>
      <c r="K10" s="2" t="s">
        <v>19</v>
      </c>
      <c r="L10" s="2" t="s">
        <v>68</v>
      </c>
      <c r="M10" s="2">
        <v>8</v>
      </c>
      <c r="N10" s="5">
        <f t="shared" si="2"/>
        <v>46087</v>
      </c>
      <c r="O10" s="2">
        <v>0</v>
      </c>
      <c r="P10" s="3">
        <f t="shared" si="3"/>
        <v>-4</v>
      </c>
      <c r="Q10" s="2" t="s">
        <v>97</v>
      </c>
    </row>
    <row r="11" spans="1:17" ht="15.75" customHeight="1" x14ac:dyDescent="0.25">
      <c r="A11" s="2" t="s">
        <v>33</v>
      </c>
      <c r="B11" s="3">
        <v>2</v>
      </c>
      <c r="C11" s="4">
        <v>0.1</v>
      </c>
      <c r="D11" s="4">
        <f t="shared" si="1"/>
        <v>0.2</v>
      </c>
      <c r="E11" s="4">
        <v>0.1</v>
      </c>
      <c r="F11" s="4">
        <f t="shared" si="0"/>
        <v>0.2</v>
      </c>
      <c r="G11" t="s">
        <v>69</v>
      </c>
      <c r="H11" s="7" t="s">
        <v>70</v>
      </c>
      <c r="I11" s="6" t="s">
        <v>19</v>
      </c>
      <c r="J11" s="6" t="s">
        <v>9</v>
      </c>
      <c r="K11" s="2" t="s">
        <v>19</v>
      </c>
      <c r="L11" s="2" t="s">
        <v>71</v>
      </c>
      <c r="M11" s="2">
        <v>4</v>
      </c>
      <c r="N11" s="5">
        <f t="shared" si="2"/>
        <v>46087</v>
      </c>
      <c r="O11" s="2">
        <v>0</v>
      </c>
      <c r="P11" s="3">
        <f t="shared" si="3"/>
        <v>-2</v>
      </c>
      <c r="Q11" s="2" t="s">
        <v>98</v>
      </c>
    </row>
    <row r="12" spans="1:17" ht="15.6" customHeight="1" x14ac:dyDescent="0.25">
      <c r="A12" t="s">
        <v>34</v>
      </c>
      <c r="B12" s="3">
        <v>2</v>
      </c>
      <c r="C12" s="4">
        <v>1.25</v>
      </c>
      <c r="D12" s="4">
        <f t="shared" si="1"/>
        <v>2.5</v>
      </c>
      <c r="E12" s="4">
        <v>1.25</v>
      </c>
      <c r="F12" s="4">
        <f t="shared" si="0"/>
        <v>2.5</v>
      </c>
      <c r="G12" t="s">
        <v>20</v>
      </c>
      <c r="H12" s="7">
        <v>3588</v>
      </c>
      <c r="I12" s="6" t="s">
        <v>19</v>
      </c>
      <c r="J12" s="6" t="s">
        <v>9</v>
      </c>
      <c r="K12" s="2" t="s">
        <v>19</v>
      </c>
      <c r="L12" t="s">
        <v>72</v>
      </c>
      <c r="M12" s="2">
        <v>4</v>
      </c>
      <c r="N12" s="5">
        <f t="shared" si="2"/>
        <v>46087</v>
      </c>
      <c r="O12" s="2">
        <v>0</v>
      </c>
      <c r="P12" s="3">
        <f t="shared" si="3"/>
        <v>-2</v>
      </c>
      <c r="Q12" s="2" t="s">
        <v>24</v>
      </c>
    </row>
    <row r="13" spans="1:17" ht="15.6" customHeight="1" x14ac:dyDescent="0.25">
      <c r="A13" t="s">
        <v>124</v>
      </c>
      <c r="B13" s="3">
        <v>2</v>
      </c>
      <c r="C13" s="4">
        <v>19.95</v>
      </c>
      <c r="D13" s="4">
        <f>B13*C13</f>
        <v>39.9</v>
      </c>
      <c r="E13" s="4">
        <v>19.95</v>
      </c>
      <c r="F13" s="4">
        <f>B13*E13</f>
        <v>39.9</v>
      </c>
      <c r="G13" t="s">
        <v>125</v>
      </c>
      <c r="H13" s="8">
        <v>1142</v>
      </c>
      <c r="I13" s="6" t="s">
        <v>19</v>
      </c>
      <c r="J13" s="6" t="s">
        <v>9</v>
      </c>
      <c r="K13" s="2" t="s">
        <v>19</v>
      </c>
      <c r="L13" t="s">
        <v>126</v>
      </c>
      <c r="M13" s="2">
        <v>4</v>
      </c>
      <c r="N13" s="5">
        <f t="shared" si="2"/>
        <v>46087</v>
      </c>
      <c r="O13" s="2">
        <v>0</v>
      </c>
      <c r="P13" s="3">
        <f>O13-B13</f>
        <v>-2</v>
      </c>
      <c r="Q13" s="2" t="s">
        <v>99</v>
      </c>
    </row>
    <row r="14" spans="1:17" ht="15.75" customHeight="1" x14ac:dyDescent="0.25">
      <c r="A14" s="2" t="s">
        <v>25</v>
      </c>
      <c r="B14" s="3">
        <v>2</v>
      </c>
      <c r="C14" s="4">
        <v>0</v>
      </c>
      <c r="D14" s="4">
        <f t="shared" si="1"/>
        <v>0</v>
      </c>
      <c r="E14" s="4">
        <v>0</v>
      </c>
      <c r="F14" s="4">
        <f t="shared" si="0"/>
        <v>0</v>
      </c>
      <c r="G14" t="s">
        <v>73</v>
      </c>
      <c r="H14" s="2" t="s">
        <v>18</v>
      </c>
      <c r="I14" s="6" t="s">
        <v>18</v>
      </c>
      <c r="J14" s="6" t="s">
        <v>9</v>
      </c>
      <c r="K14" s="2" t="s">
        <v>18</v>
      </c>
      <c r="L14" t="s">
        <v>18</v>
      </c>
      <c r="M14" s="2">
        <v>4</v>
      </c>
      <c r="N14" s="5">
        <f t="shared" si="2"/>
        <v>46087</v>
      </c>
      <c r="O14" s="2">
        <v>0</v>
      </c>
      <c r="P14" s="3">
        <f t="shared" si="3"/>
        <v>-2</v>
      </c>
      <c r="Q14" s="2" t="s">
        <v>100</v>
      </c>
    </row>
    <row r="15" spans="1:17" ht="15.75" customHeight="1" x14ac:dyDescent="0.25">
      <c r="A15" t="s">
        <v>35</v>
      </c>
      <c r="B15" s="3">
        <v>1</v>
      </c>
      <c r="C15" s="4">
        <v>0.9</v>
      </c>
      <c r="D15" s="4">
        <f t="shared" si="1"/>
        <v>0.9</v>
      </c>
      <c r="E15" s="4">
        <v>0.9</v>
      </c>
      <c r="F15" s="4">
        <f t="shared" si="0"/>
        <v>0.9</v>
      </c>
      <c r="G15" t="s">
        <v>74</v>
      </c>
      <c r="H15" s="7" t="s">
        <v>75</v>
      </c>
      <c r="I15" s="6" t="s">
        <v>19</v>
      </c>
      <c r="J15" s="6" t="s">
        <v>9</v>
      </c>
      <c r="K15" s="2" t="s">
        <v>19</v>
      </c>
      <c r="L15" t="s">
        <v>76</v>
      </c>
      <c r="M15">
        <v>3</v>
      </c>
      <c r="N15" s="5">
        <f t="shared" si="2"/>
        <v>46087</v>
      </c>
      <c r="O15" s="2">
        <v>0</v>
      </c>
      <c r="P15" s="3">
        <f t="shared" si="3"/>
        <v>-1</v>
      </c>
      <c r="Q15" s="2" t="s">
        <v>101</v>
      </c>
    </row>
    <row r="16" spans="1:17" ht="15.75" customHeight="1" x14ac:dyDescent="0.25">
      <c r="A16" t="s">
        <v>36</v>
      </c>
      <c r="B16" s="3">
        <v>8</v>
      </c>
      <c r="C16" s="4">
        <v>0</v>
      </c>
      <c r="D16" s="4">
        <f t="shared" si="1"/>
        <v>0</v>
      </c>
      <c r="E16" s="4">
        <v>0</v>
      </c>
      <c r="F16" s="4">
        <f t="shared" si="0"/>
        <v>0</v>
      </c>
      <c r="G16" t="s">
        <v>18</v>
      </c>
      <c r="H16" t="s">
        <v>18</v>
      </c>
      <c r="I16" s="6" t="s">
        <v>19</v>
      </c>
      <c r="J16" s="6" t="s">
        <v>9</v>
      </c>
      <c r="K16" s="2" t="s">
        <v>18</v>
      </c>
      <c r="L16" s="2" t="s">
        <v>18</v>
      </c>
      <c r="M16" s="2">
        <v>10</v>
      </c>
      <c r="N16" s="5">
        <f t="shared" si="2"/>
        <v>46087</v>
      </c>
      <c r="O16" s="2">
        <v>0</v>
      </c>
      <c r="P16" s="3">
        <f t="shared" si="3"/>
        <v>-8</v>
      </c>
      <c r="Q16" s="2" t="s">
        <v>103</v>
      </c>
    </row>
    <row r="17" spans="1:17" ht="15.75" customHeight="1" x14ac:dyDescent="0.25">
      <c r="A17" t="s">
        <v>37</v>
      </c>
      <c r="B17" s="3">
        <v>4</v>
      </c>
      <c r="C17" s="4">
        <v>0.1</v>
      </c>
      <c r="D17" s="4">
        <f t="shared" si="1"/>
        <v>0.4</v>
      </c>
      <c r="E17" s="4">
        <v>0.1</v>
      </c>
      <c r="F17" s="4">
        <f t="shared" si="0"/>
        <v>0.4</v>
      </c>
      <c r="G17" t="s">
        <v>18</v>
      </c>
      <c r="H17" t="s">
        <v>18</v>
      </c>
      <c r="I17" s="6" t="s">
        <v>19</v>
      </c>
      <c r="J17" s="6" t="s">
        <v>9</v>
      </c>
      <c r="K17" t="s">
        <v>18</v>
      </c>
      <c r="L17" t="s">
        <v>18</v>
      </c>
      <c r="M17" s="2">
        <v>10</v>
      </c>
      <c r="N17" s="5">
        <f t="shared" si="2"/>
        <v>46087</v>
      </c>
      <c r="O17" s="2">
        <v>0</v>
      </c>
      <c r="P17" s="3">
        <f t="shared" si="3"/>
        <v>-4</v>
      </c>
      <c r="Q17" s="2" t="s">
        <v>104</v>
      </c>
    </row>
    <row r="18" spans="1:17" ht="13.2" x14ac:dyDescent="0.25">
      <c r="A18" t="s">
        <v>38</v>
      </c>
      <c r="B18" s="3">
        <v>2</v>
      </c>
      <c r="C18" s="4">
        <v>0.1</v>
      </c>
      <c r="D18" s="4">
        <f t="shared" si="1"/>
        <v>0.2</v>
      </c>
      <c r="E18" s="4">
        <v>0.1</v>
      </c>
      <c r="F18" s="4">
        <f t="shared" si="0"/>
        <v>0.2</v>
      </c>
      <c r="G18" t="s">
        <v>18</v>
      </c>
      <c r="H18" t="s">
        <v>18</v>
      </c>
      <c r="I18" s="6" t="s">
        <v>19</v>
      </c>
      <c r="J18" s="6" t="s">
        <v>9</v>
      </c>
      <c r="K18" t="s">
        <v>18</v>
      </c>
      <c r="L18" t="s">
        <v>18</v>
      </c>
      <c r="M18" s="2">
        <v>10</v>
      </c>
      <c r="N18" s="5">
        <f t="shared" si="2"/>
        <v>46087</v>
      </c>
      <c r="O18" s="2">
        <v>0</v>
      </c>
      <c r="P18" s="3">
        <f t="shared" si="3"/>
        <v>-2</v>
      </c>
      <c r="Q18" s="2" t="s">
        <v>105</v>
      </c>
    </row>
    <row r="19" spans="1:17" ht="13.2" x14ac:dyDescent="0.25">
      <c r="A19" t="s">
        <v>39</v>
      </c>
      <c r="B19" s="3">
        <v>2</v>
      </c>
      <c r="C19" s="4">
        <v>0.1</v>
      </c>
      <c r="D19" s="4">
        <f t="shared" ref="D19:D27" si="4">B19*C19</f>
        <v>0.2</v>
      </c>
      <c r="E19" s="4">
        <v>0.2</v>
      </c>
      <c r="F19" s="4">
        <f t="shared" ref="F19:F27" si="5">B19*E19</f>
        <v>0.4</v>
      </c>
      <c r="G19" t="s">
        <v>18</v>
      </c>
      <c r="H19" t="s">
        <v>18</v>
      </c>
      <c r="I19" s="6" t="s">
        <v>19</v>
      </c>
      <c r="J19" s="6" t="s">
        <v>9</v>
      </c>
      <c r="K19" t="s">
        <v>18</v>
      </c>
      <c r="L19" t="s">
        <v>18</v>
      </c>
      <c r="M19" s="2">
        <v>10</v>
      </c>
      <c r="N19" s="5">
        <f t="shared" si="2"/>
        <v>46087</v>
      </c>
      <c r="O19" s="2">
        <v>0</v>
      </c>
      <c r="P19" s="3">
        <f>O19-B19</f>
        <v>-2</v>
      </c>
      <c r="Q19" s="2" t="s">
        <v>106</v>
      </c>
    </row>
    <row r="20" spans="1:17" ht="15.75" customHeight="1" x14ac:dyDescent="0.25">
      <c r="A20" t="s">
        <v>40</v>
      </c>
      <c r="B20">
        <v>1</v>
      </c>
      <c r="C20" s="4">
        <v>0.1</v>
      </c>
      <c r="D20" s="4">
        <f t="shared" si="4"/>
        <v>0.1</v>
      </c>
      <c r="E20" s="4">
        <v>0.2</v>
      </c>
      <c r="F20" s="4">
        <f t="shared" si="5"/>
        <v>0.2</v>
      </c>
      <c r="G20" t="s">
        <v>18</v>
      </c>
      <c r="H20" t="s">
        <v>18</v>
      </c>
      <c r="I20" s="6" t="s">
        <v>19</v>
      </c>
      <c r="J20" s="6" t="s">
        <v>9</v>
      </c>
      <c r="K20" t="s">
        <v>18</v>
      </c>
      <c r="L20" t="s">
        <v>18</v>
      </c>
      <c r="M20" s="2">
        <v>10</v>
      </c>
      <c r="N20" s="5">
        <f t="shared" si="2"/>
        <v>46087</v>
      </c>
      <c r="O20" s="2">
        <v>0</v>
      </c>
      <c r="P20" s="3">
        <f t="shared" ref="P20:P27" si="6">O20-B20</f>
        <v>-1</v>
      </c>
      <c r="Q20" s="2" t="s">
        <v>107</v>
      </c>
    </row>
    <row r="21" spans="1:17" ht="13.2" x14ac:dyDescent="0.25">
      <c r="A21" t="s">
        <v>41</v>
      </c>
      <c r="B21" s="3">
        <v>1</v>
      </c>
      <c r="C21" s="4">
        <v>0.1</v>
      </c>
      <c r="D21" s="4">
        <f t="shared" si="4"/>
        <v>0.1</v>
      </c>
      <c r="E21" s="4">
        <v>0.1</v>
      </c>
      <c r="F21" s="4">
        <f t="shared" si="5"/>
        <v>0.1</v>
      </c>
      <c r="G21" t="s">
        <v>18</v>
      </c>
      <c r="H21" t="s">
        <v>18</v>
      </c>
      <c r="I21" s="6" t="s">
        <v>19</v>
      </c>
      <c r="J21" s="6" t="s">
        <v>9</v>
      </c>
      <c r="K21" t="s">
        <v>18</v>
      </c>
      <c r="L21" t="s">
        <v>18</v>
      </c>
      <c r="M21" s="2">
        <v>10</v>
      </c>
      <c r="N21" s="5">
        <f t="shared" si="2"/>
        <v>46087</v>
      </c>
      <c r="O21" s="2">
        <v>0</v>
      </c>
      <c r="P21" s="3">
        <f t="shared" si="6"/>
        <v>-1</v>
      </c>
      <c r="Q21" s="2" t="s">
        <v>108</v>
      </c>
    </row>
    <row r="22" spans="1:17" ht="13.2" x14ac:dyDescent="0.25">
      <c r="A22" t="s">
        <v>42</v>
      </c>
      <c r="B22" s="3">
        <v>2</v>
      </c>
      <c r="C22" s="4">
        <v>0.27</v>
      </c>
      <c r="D22" s="4">
        <f t="shared" si="4"/>
        <v>0.54</v>
      </c>
      <c r="E22" s="4">
        <v>0.27</v>
      </c>
      <c r="F22" s="4">
        <f t="shared" si="5"/>
        <v>0.54</v>
      </c>
      <c r="G22" t="s">
        <v>18</v>
      </c>
      <c r="H22" t="s">
        <v>18</v>
      </c>
      <c r="I22" s="6" t="s">
        <v>19</v>
      </c>
      <c r="J22" s="6" t="s">
        <v>9</v>
      </c>
      <c r="K22" t="s">
        <v>18</v>
      </c>
      <c r="L22" t="s">
        <v>18</v>
      </c>
      <c r="M22" s="2">
        <v>4</v>
      </c>
      <c r="N22" s="5">
        <f t="shared" si="2"/>
        <v>46087</v>
      </c>
      <c r="O22" s="2">
        <v>0</v>
      </c>
      <c r="P22" s="3">
        <f t="shared" si="6"/>
        <v>-2</v>
      </c>
      <c r="Q22" s="2" t="s">
        <v>109</v>
      </c>
    </row>
    <row r="23" spans="1:17" ht="13.2" x14ac:dyDescent="0.25">
      <c r="A23" t="s">
        <v>44</v>
      </c>
      <c r="B23" s="3">
        <v>2</v>
      </c>
      <c r="C23" s="4">
        <v>3.2</v>
      </c>
      <c r="D23" s="4">
        <f t="shared" si="4"/>
        <v>6.4</v>
      </c>
      <c r="E23" s="4">
        <v>3.2</v>
      </c>
      <c r="F23" s="4">
        <f t="shared" si="5"/>
        <v>6.4</v>
      </c>
      <c r="G23" t="s">
        <v>77</v>
      </c>
      <c r="H23" t="s">
        <v>78</v>
      </c>
      <c r="I23" s="6" t="s">
        <v>19</v>
      </c>
      <c r="J23" s="6" t="s">
        <v>9</v>
      </c>
      <c r="K23" t="s">
        <v>18</v>
      </c>
      <c r="L23" t="s">
        <v>18</v>
      </c>
      <c r="M23" s="2">
        <v>3</v>
      </c>
      <c r="N23" s="5">
        <f t="shared" si="2"/>
        <v>46087</v>
      </c>
      <c r="O23" s="2">
        <v>0</v>
      </c>
      <c r="P23" s="3">
        <f t="shared" si="6"/>
        <v>-2</v>
      </c>
      <c r="Q23" s="2" t="s">
        <v>110</v>
      </c>
    </row>
    <row r="24" spans="1:17" ht="13.2" x14ac:dyDescent="0.25">
      <c r="A24" t="s">
        <v>43</v>
      </c>
      <c r="B24" s="3">
        <v>2</v>
      </c>
      <c r="C24" s="4">
        <v>3.17</v>
      </c>
      <c r="D24" s="4">
        <f t="shared" si="4"/>
        <v>6.34</v>
      </c>
      <c r="E24" s="4">
        <v>3.17</v>
      </c>
      <c r="F24" s="4">
        <f t="shared" si="5"/>
        <v>6.34</v>
      </c>
      <c r="G24" t="s">
        <v>77</v>
      </c>
      <c r="H24" t="s">
        <v>79</v>
      </c>
      <c r="I24" s="6" t="s">
        <v>19</v>
      </c>
      <c r="J24" s="6" t="s">
        <v>9</v>
      </c>
      <c r="K24" t="s">
        <v>18</v>
      </c>
      <c r="L24" t="s">
        <v>18</v>
      </c>
      <c r="M24" s="2">
        <v>3</v>
      </c>
      <c r="N24" s="5">
        <f t="shared" si="2"/>
        <v>46087</v>
      </c>
      <c r="O24" s="2">
        <v>0</v>
      </c>
      <c r="P24" s="3">
        <f t="shared" si="6"/>
        <v>-2</v>
      </c>
      <c r="Q24" s="2" t="s">
        <v>111</v>
      </c>
    </row>
    <row r="25" spans="1:17" ht="13.2" x14ac:dyDescent="0.25">
      <c r="A25" t="s">
        <v>45</v>
      </c>
      <c r="B25" s="3">
        <v>1</v>
      </c>
      <c r="C25" s="4">
        <v>5.0599999999999996</v>
      </c>
      <c r="D25" s="4">
        <f t="shared" si="4"/>
        <v>5.0599999999999996</v>
      </c>
      <c r="E25" s="4">
        <v>5.0599999999999996</v>
      </c>
      <c r="F25" s="4">
        <f t="shared" si="5"/>
        <v>5.0599999999999996</v>
      </c>
      <c r="G25" t="s">
        <v>80</v>
      </c>
      <c r="H25" t="s">
        <v>81</v>
      </c>
      <c r="I25" s="6" t="s">
        <v>50</v>
      </c>
      <c r="J25" s="6" t="s">
        <v>9</v>
      </c>
      <c r="K25" t="s">
        <v>18</v>
      </c>
      <c r="L25" t="s">
        <v>18</v>
      </c>
      <c r="M25" s="2">
        <v>2</v>
      </c>
      <c r="N25" s="5">
        <f t="shared" si="2"/>
        <v>46087</v>
      </c>
      <c r="O25" s="2">
        <v>0</v>
      </c>
      <c r="P25" s="3">
        <f t="shared" si="6"/>
        <v>-1</v>
      </c>
      <c r="Q25" s="2" t="s">
        <v>112</v>
      </c>
    </row>
    <row r="26" spans="1:17" ht="13.2" x14ac:dyDescent="0.25">
      <c r="A26" t="s">
        <v>46</v>
      </c>
      <c r="B26" s="3">
        <v>1</v>
      </c>
      <c r="C26" s="4">
        <v>0.65</v>
      </c>
      <c r="D26" s="4">
        <f t="shared" si="4"/>
        <v>0.65</v>
      </c>
      <c r="E26" s="4">
        <v>0.65</v>
      </c>
      <c r="F26" s="4">
        <f t="shared" si="5"/>
        <v>0.65</v>
      </c>
      <c r="G26" t="s">
        <v>82</v>
      </c>
      <c r="H26" t="s">
        <v>83</v>
      </c>
      <c r="I26" s="6" t="s">
        <v>19</v>
      </c>
      <c r="J26" s="6" t="s">
        <v>9</v>
      </c>
      <c r="K26" t="s">
        <v>19</v>
      </c>
      <c r="L26" t="s">
        <v>84</v>
      </c>
      <c r="M26" s="2">
        <v>3</v>
      </c>
      <c r="N26" s="5">
        <f t="shared" si="2"/>
        <v>46087</v>
      </c>
      <c r="O26" s="2">
        <v>0</v>
      </c>
      <c r="P26" s="3">
        <f t="shared" si="6"/>
        <v>-1</v>
      </c>
      <c r="Q26" s="2" t="s">
        <v>113</v>
      </c>
    </row>
    <row r="27" spans="1:17" ht="13.2" x14ac:dyDescent="0.25">
      <c r="A27" t="s">
        <v>47</v>
      </c>
      <c r="B27" s="3">
        <v>1</v>
      </c>
      <c r="C27" s="4">
        <v>2.5099999999999998</v>
      </c>
      <c r="D27" s="4">
        <f t="shared" si="4"/>
        <v>2.5099999999999998</v>
      </c>
      <c r="E27" s="4">
        <v>2.5099999999999998</v>
      </c>
      <c r="F27" s="4">
        <f t="shared" si="5"/>
        <v>2.5099999999999998</v>
      </c>
      <c r="G27" t="s">
        <v>85</v>
      </c>
      <c r="H27" t="s">
        <v>47</v>
      </c>
      <c r="I27" s="6" t="s">
        <v>19</v>
      </c>
      <c r="J27" s="6" t="s">
        <v>9</v>
      </c>
      <c r="K27" t="s">
        <v>18</v>
      </c>
      <c r="L27" t="s">
        <v>18</v>
      </c>
      <c r="M27" s="2">
        <v>3</v>
      </c>
      <c r="N27" s="5">
        <f t="shared" si="2"/>
        <v>46087</v>
      </c>
      <c r="O27" s="2">
        <v>0</v>
      </c>
      <c r="P27" s="3">
        <f t="shared" si="6"/>
        <v>-1</v>
      </c>
      <c r="Q27" s="2" t="s">
        <v>115</v>
      </c>
    </row>
    <row r="28" spans="1:17" ht="15.75" customHeight="1" x14ac:dyDescent="0.25">
      <c r="A28" s="2" t="s">
        <v>89</v>
      </c>
      <c r="B28" s="3">
        <v>1</v>
      </c>
      <c r="C28" s="4">
        <v>0.69</v>
      </c>
      <c r="D28" s="4">
        <f>B28*C28</f>
        <v>0.69</v>
      </c>
      <c r="E28" s="4">
        <v>0.69</v>
      </c>
      <c r="F28" s="4">
        <f>B28*E28</f>
        <v>0.69</v>
      </c>
      <c r="G28" s="2" t="s">
        <v>21</v>
      </c>
      <c r="H28" s="2" t="s">
        <v>22</v>
      </c>
      <c r="I28" s="6" t="s">
        <v>19</v>
      </c>
      <c r="J28" s="6" t="s">
        <v>9</v>
      </c>
      <c r="K28" s="2" t="s">
        <v>18</v>
      </c>
      <c r="L28" s="2" t="s">
        <v>23</v>
      </c>
      <c r="M28" s="2">
        <v>2</v>
      </c>
      <c r="N28" s="5">
        <f t="shared" si="2"/>
        <v>46087</v>
      </c>
      <c r="O28" s="2">
        <v>0</v>
      </c>
      <c r="P28" s="3">
        <f>O28-B28</f>
        <v>-1</v>
      </c>
      <c r="Q28" s="2" t="s">
        <v>114</v>
      </c>
    </row>
    <row r="29" spans="1:17" ht="13.2" x14ac:dyDescent="0.25">
      <c r="A29" t="s">
        <v>86</v>
      </c>
      <c r="B29" s="3">
        <v>1</v>
      </c>
      <c r="C29" s="4">
        <v>0.78</v>
      </c>
      <c r="D29" s="4">
        <f>B29*C29</f>
        <v>0.78</v>
      </c>
      <c r="E29" s="4">
        <v>0.78</v>
      </c>
      <c r="F29" s="4">
        <f>E29*B29</f>
        <v>0.78</v>
      </c>
      <c r="G29" t="s">
        <v>87</v>
      </c>
      <c r="H29" t="s">
        <v>88</v>
      </c>
      <c r="I29" s="6" t="s">
        <v>19</v>
      </c>
      <c r="J29" s="6" t="s">
        <v>9</v>
      </c>
      <c r="K29" t="s">
        <v>18</v>
      </c>
      <c r="L29" t="s">
        <v>18</v>
      </c>
      <c r="M29" s="2">
        <v>3</v>
      </c>
      <c r="N29" s="5">
        <f t="shared" si="2"/>
        <v>46087</v>
      </c>
      <c r="O29" s="2">
        <v>0</v>
      </c>
      <c r="P29" s="3">
        <f>O29-B29</f>
        <v>-1</v>
      </c>
      <c r="Q29" s="2" t="s">
        <v>116</v>
      </c>
    </row>
    <row r="30" spans="1:17" ht="13.2" x14ac:dyDescent="0.25">
      <c r="A30" t="s">
        <v>117</v>
      </c>
      <c r="B30" s="3">
        <v>1</v>
      </c>
      <c r="C30" s="4">
        <v>0</v>
      </c>
      <c r="D30" s="4">
        <f>B30*C30</f>
        <v>0</v>
      </c>
      <c r="E30" s="4">
        <v>0</v>
      </c>
      <c r="F30" s="4">
        <f>E30*B30</f>
        <v>0</v>
      </c>
      <c r="G30" t="s">
        <v>18</v>
      </c>
      <c r="H30" t="s">
        <v>18</v>
      </c>
      <c r="I30" s="6" t="s">
        <v>50</v>
      </c>
      <c r="J30" s="6" t="s">
        <v>9</v>
      </c>
      <c r="K30" t="s">
        <v>18</v>
      </c>
      <c r="L30" t="s">
        <v>18</v>
      </c>
      <c r="M30" s="2">
        <v>4</v>
      </c>
      <c r="N30" s="5">
        <v>46092</v>
      </c>
      <c r="O30" s="2">
        <v>0</v>
      </c>
      <c r="P30" s="3">
        <f>O30-B30</f>
        <v>-1</v>
      </c>
      <c r="Q30" s="2" t="s">
        <v>118</v>
      </c>
    </row>
    <row r="31" spans="1:17" ht="13.2" x14ac:dyDescent="0.25">
      <c r="A31" t="s">
        <v>119</v>
      </c>
      <c r="B31" s="3">
        <v>31</v>
      </c>
      <c r="C31" s="4">
        <v>0.13</v>
      </c>
      <c r="D31" s="4">
        <f>B31*C31</f>
        <v>4.03</v>
      </c>
      <c r="E31" s="4">
        <v>0.13</v>
      </c>
      <c r="F31" s="4">
        <f>B31*E31</f>
        <v>4.03</v>
      </c>
      <c r="G31" t="s">
        <v>120</v>
      </c>
      <c r="H31" t="s">
        <v>122</v>
      </c>
      <c r="I31" s="6" t="s">
        <v>50</v>
      </c>
      <c r="J31" s="6" t="s">
        <v>9</v>
      </c>
      <c r="K31" t="s">
        <v>19</v>
      </c>
      <c r="L31" t="s">
        <v>121</v>
      </c>
      <c r="M31" s="2">
        <v>35</v>
      </c>
      <c r="N31" s="5">
        <v>46092</v>
      </c>
      <c r="O31" s="2">
        <v>0</v>
      </c>
      <c r="P31" s="3">
        <f>O31-B31</f>
        <v>-31</v>
      </c>
      <c r="Q31" s="2" t="s">
        <v>123</v>
      </c>
    </row>
    <row r="32" spans="1:17" ht="13.2" x14ac:dyDescent="0.25">
      <c r="B32" s="3"/>
      <c r="C32" s="4"/>
      <c r="D32" s="4"/>
      <c r="E32" s="4"/>
      <c r="F32" s="4"/>
      <c r="N32" s="5"/>
      <c r="P32" s="3"/>
    </row>
    <row r="33" spans="2:16" ht="13.2" x14ac:dyDescent="0.25">
      <c r="B33" s="3"/>
      <c r="C33" s="4"/>
      <c r="D33" s="4"/>
      <c r="E33" s="4"/>
      <c r="F33" s="4"/>
      <c r="N33" s="5"/>
      <c r="P33" s="3"/>
    </row>
    <row r="34" spans="2:16" ht="13.2" x14ac:dyDescent="0.25">
      <c r="B34" s="3"/>
      <c r="C34" s="4"/>
      <c r="D34" s="4"/>
      <c r="E34" s="4"/>
      <c r="F34" s="4"/>
      <c r="N34" s="5"/>
      <c r="P34" s="3"/>
    </row>
    <row r="35" spans="2:16" ht="13.2" x14ac:dyDescent="0.25">
      <c r="B35" s="3"/>
      <c r="C35" s="4"/>
      <c r="D35" s="4"/>
      <c r="E35" s="4"/>
      <c r="F35" s="4"/>
      <c r="N35" s="5"/>
      <c r="P35" s="3"/>
    </row>
    <row r="36" spans="2:16" ht="13.2" x14ac:dyDescent="0.25">
      <c r="B36" s="3"/>
      <c r="C36" s="4"/>
      <c r="D36" s="4"/>
      <c r="E36" s="4"/>
      <c r="F36" s="4"/>
      <c r="N36" s="5"/>
      <c r="P36" s="3"/>
    </row>
    <row r="37" spans="2:16" ht="13.2" x14ac:dyDescent="0.25">
      <c r="B37" s="3"/>
      <c r="C37" s="4"/>
      <c r="D37" s="4"/>
      <c r="E37" s="4"/>
      <c r="F37" s="4"/>
      <c r="N37" s="5"/>
      <c r="P37" s="3"/>
    </row>
    <row r="38" spans="2:16" ht="13.2" x14ac:dyDescent="0.25">
      <c r="B38" s="3"/>
      <c r="C38" s="4"/>
      <c r="D38" s="4"/>
      <c r="E38" s="4"/>
      <c r="F38" s="4"/>
      <c r="N38" s="5"/>
      <c r="P38" s="3"/>
    </row>
    <row r="39" spans="2:16" ht="13.2" x14ac:dyDescent="0.25">
      <c r="B39" s="3"/>
      <c r="C39" s="4"/>
      <c r="D39" s="4"/>
      <c r="E39" s="4"/>
      <c r="F39" s="4"/>
      <c r="N39" s="5"/>
      <c r="P39" s="3"/>
    </row>
    <row r="40" spans="2:16" ht="13.2" x14ac:dyDescent="0.25">
      <c r="B40" s="3"/>
      <c r="C40" s="4"/>
      <c r="D40" s="4"/>
      <c r="E40" s="4"/>
      <c r="F40" s="4"/>
      <c r="N40" s="5"/>
      <c r="P40" s="3"/>
    </row>
    <row r="41" spans="2:16" ht="13.2" x14ac:dyDescent="0.25">
      <c r="B41" s="3"/>
      <c r="C41" s="4"/>
      <c r="D41" s="4"/>
      <c r="E41" s="4"/>
      <c r="F41" s="4"/>
      <c r="N41" s="5"/>
      <c r="P41" s="3"/>
    </row>
    <row r="42" spans="2:16" ht="13.2" x14ac:dyDescent="0.25">
      <c r="B42" s="3"/>
      <c r="C42" s="4"/>
      <c r="D42" s="4"/>
      <c r="E42" s="4"/>
      <c r="F42" s="4"/>
      <c r="N42" s="5"/>
      <c r="P42" s="3"/>
    </row>
    <row r="43" spans="2:16" ht="13.2" x14ac:dyDescent="0.25">
      <c r="B43" s="3"/>
      <c r="C43" s="4"/>
      <c r="D43" s="4"/>
      <c r="E43" s="4"/>
      <c r="F43" s="4"/>
      <c r="N43" s="5"/>
      <c r="P43" s="3"/>
    </row>
    <row r="44" spans="2:16" ht="13.2" x14ac:dyDescent="0.25">
      <c r="B44" s="3"/>
      <c r="C44" s="4"/>
      <c r="D44" s="4"/>
      <c r="E44" s="4"/>
      <c r="F44" s="4"/>
      <c r="N44" s="5"/>
      <c r="P44" s="3"/>
    </row>
    <row r="45" spans="2:16" ht="13.2" x14ac:dyDescent="0.25">
      <c r="B45" s="3"/>
      <c r="C45" s="4"/>
      <c r="D45" s="4"/>
      <c r="E45" s="4"/>
      <c r="F45" s="4"/>
      <c r="N45" s="5"/>
      <c r="P45" s="3"/>
    </row>
    <row r="46" spans="2:16" ht="13.2" x14ac:dyDescent="0.25">
      <c r="B46" s="3"/>
      <c r="C46" s="4"/>
      <c r="D46" s="4"/>
      <c r="E46" s="4"/>
      <c r="F46" s="4"/>
      <c r="N46" s="5"/>
      <c r="P46" s="3"/>
    </row>
    <row r="47" spans="2:16" ht="13.2" x14ac:dyDescent="0.25">
      <c r="B47" s="3"/>
      <c r="C47" s="4"/>
      <c r="D47" s="4"/>
      <c r="E47" s="4"/>
      <c r="F47" s="4"/>
      <c r="N47" s="5"/>
      <c r="P47" s="3"/>
    </row>
    <row r="48" spans="2:16" ht="13.2" x14ac:dyDescent="0.25">
      <c r="B48" s="3"/>
      <c r="C48" s="4"/>
      <c r="D48" s="4"/>
      <c r="E48" s="4"/>
      <c r="F48" s="4"/>
      <c r="N48" s="5"/>
      <c r="P48" s="3"/>
    </row>
    <row r="49" spans="2:16" ht="13.2" x14ac:dyDescent="0.25">
      <c r="B49" s="3"/>
      <c r="C49" s="4"/>
      <c r="D49" s="4"/>
      <c r="E49" s="4"/>
      <c r="F49" s="4"/>
      <c r="N49" s="5"/>
      <c r="P49" s="3"/>
    </row>
    <row r="50" spans="2:16" ht="13.2" x14ac:dyDescent="0.25">
      <c r="B50" s="3"/>
      <c r="C50" s="4"/>
      <c r="D50" s="4"/>
      <c r="E50" s="4"/>
      <c r="F50" s="4"/>
      <c r="N50" s="5"/>
      <c r="P50" s="3"/>
    </row>
    <row r="51" spans="2:16" ht="13.2" x14ac:dyDescent="0.25">
      <c r="B51" s="3"/>
      <c r="C51" s="4"/>
      <c r="D51" s="4"/>
      <c r="E51" s="4"/>
      <c r="F51" s="4"/>
      <c r="N51" s="5"/>
      <c r="P51" s="3"/>
    </row>
    <row r="52" spans="2:16" ht="13.2" x14ac:dyDescent="0.25">
      <c r="B52" s="3"/>
      <c r="C52" s="4"/>
      <c r="D52" s="4"/>
      <c r="E52" s="4"/>
      <c r="F52" s="4"/>
      <c r="N52" s="5"/>
      <c r="P52" s="3"/>
    </row>
    <row r="53" spans="2:16" ht="13.2" x14ac:dyDescent="0.25">
      <c r="B53" s="3"/>
      <c r="C53" s="4"/>
      <c r="D53" s="4"/>
      <c r="E53" s="4"/>
      <c r="F53" s="4"/>
      <c r="N53" s="5"/>
      <c r="P53" s="3"/>
    </row>
    <row r="54" spans="2:16" ht="13.2" x14ac:dyDescent="0.25">
      <c r="B54" s="3"/>
      <c r="C54" s="4"/>
      <c r="D54" s="4"/>
      <c r="E54" s="4"/>
      <c r="F54" s="4"/>
      <c r="N54" s="5"/>
      <c r="P54" s="3"/>
    </row>
    <row r="55" spans="2:16" ht="13.2" x14ac:dyDescent="0.25">
      <c r="B55" s="3"/>
      <c r="C55" s="4"/>
      <c r="D55" s="4"/>
      <c r="E55" s="4"/>
      <c r="F55" s="4"/>
      <c r="N55" s="5"/>
      <c r="P55" s="3"/>
    </row>
    <row r="56" spans="2:16" ht="13.2" x14ac:dyDescent="0.25">
      <c r="B56" s="3"/>
      <c r="C56" s="4"/>
      <c r="D56" s="4"/>
      <c r="E56" s="4"/>
      <c r="F56" s="4"/>
      <c r="N56" s="5"/>
      <c r="P56" s="3"/>
    </row>
    <row r="57" spans="2:16" ht="13.2" x14ac:dyDescent="0.25">
      <c r="B57" s="3"/>
      <c r="C57" s="4"/>
      <c r="D57" s="4"/>
      <c r="E57" s="4"/>
      <c r="F57" s="4"/>
      <c r="N57" s="5"/>
      <c r="P57" s="3"/>
    </row>
    <row r="58" spans="2:16" ht="13.2" x14ac:dyDescent="0.25">
      <c r="B58" s="3"/>
      <c r="C58" s="4"/>
      <c r="D58" s="4"/>
      <c r="E58" s="4"/>
      <c r="F58" s="4"/>
      <c r="N58" s="5"/>
      <c r="P58" s="3"/>
    </row>
    <row r="59" spans="2:16" ht="13.2" x14ac:dyDescent="0.25">
      <c r="B59" s="3"/>
      <c r="C59" s="4"/>
      <c r="D59" s="4"/>
      <c r="E59" s="4"/>
      <c r="F59" s="4"/>
      <c r="N59" s="5"/>
      <c r="P59" s="3"/>
    </row>
    <row r="60" spans="2:16" ht="13.2" x14ac:dyDescent="0.25">
      <c r="B60" s="3"/>
      <c r="C60" s="4"/>
      <c r="D60" s="4"/>
      <c r="E60" s="4"/>
      <c r="F60" s="4"/>
      <c r="N60" s="5"/>
      <c r="P60" s="3"/>
    </row>
    <row r="61" spans="2:16" ht="13.2" x14ac:dyDescent="0.25">
      <c r="B61" s="3"/>
      <c r="C61" s="4"/>
      <c r="D61" s="4"/>
      <c r="E61" s="4"/>
      <c r="F61" s="4"/>
      <c r="N61" s="5"/>
      <c r="P61" s="3"/>
    </row>
    <row r="62" spans="2:16" ht="13.2" x14ac:dyDescent="0.25">
      <c r="B62" s="3"/>
      <c r="C62" s="4"/>
      <c r="D62" s="4"/>
      <c r="E62" s="4"/>
      <c r="F62" s="4"/>
      <c r="N62" s="5"/>
      <c r="P62" s="3"/>
    </row>
    <row r="63" spans="2:16" ht="13.2" x14ac:dyDescent="0.25">
      <c r="B63" s="3"/>
      <c r="C63" s="4"/>
      <c r="D63" s="4"/>
      <c r="E63" s="4"/>
      <c r="F63" s="4"/>
      <c r="N63" s="5"/>
      <c r="P63" s="3"/>
    </row>
    <row r="64" spans="2:16" ht="13.2" x14ac:dyDescent="0.25">
      <c r="B64" s="3"/>
      <c r="C64" s="4"/>
      <c r="D64" s="4"/>
      <c r="E64" s="4"/>
      <c r="F64" s="4"/>
      <c r="N64" s="5"/>
      <c r="P64" s="3"/>
    </row>
    <row r="65" spans="2:16" ht="13.2" x14ac:dyDescent="0.25">
      <c r="B65" s="3"/>
      <c r="C65" s="4"/>
      <c r="D65" s="4"/>
      <c r="E65" s="4"/>
      <c r="F65" s="4"/>
      <c r="N65" s="5"/>
      <c r="P65" s="3"/>
    </row>
    <row r="66" spans="2:16" ht="13.2" x14ac:dyDescent="0.25">
      <c r="B66" s="3"/>
      <c r="C66" s="4"/>
      <c r="D66" s="4"/>
      <c r="E66" s="4"/>
      <c r="F66" s="4"/>
      <c r="N66" s="5"/>
      <c r="P66" s="3"/>
    </row>
    <row r="67" spans="2:16" ht="13.2" x14ac:dyDescent="0.25">
      <c r="B67" s="3"/>
      <c r="C67" s="4"/>
      <c r="D67" s="4"/>
      <c r="E67" s="4"/>
      <c r="F67" s="4"/>
      <c r="N67" s="5"/>
      <c r="P67" s="3"/>
    </row>
    <row r="68" spans="2:16" ht="13.2" x14ac:dyDescent="0.25">
      <c r="B68" s="3"/>
      <c r="C68" s="4"/>
      <c r="D68" s="4"/>
      <c r="E68" s="4"/>
      <c r="F68" s="4"/>
      <c r="N68" s="5"/>
      <c r="P68" s="3"/>
    </row>
    <row r="69" spans="2:16" ht="13.2" x14ac:dyDescent="0.25">
      <c r="B69" s="3"/>
      <c r="C69" s="4"/>
      <c r="D69" s="4"/>
      <c r="E69" s="4"/>
      <c r="F69" s="4"/>
      <c r="N69" s="5"/>
      <c r="P69" s="3"/>
    </row>
    <row r="70" spans="2:16" ht="13.2" x14ac:dyDescent="0.25">
      <c r="B70" s="3"/>
      <c r="C70" s="4"/>
      <c r="D70" s="4"/>
      <c r="E70" s="4"/>
      <c r="F70" s="4"/>
      <c r="N70" s="5"/>
      <c r="P70" s="3"/>
    </row>
    <row r="71" spans="2:16" ht="13.2" x14ac:dyDescent="0.25">
      <c r="B71" s="3"/>
      <c r="C71" s="4"/>
      <c r="D71" s="4"/>
      <c r="E71" s="4"/>
      <c r="F71" s="4"/>
      <c r="N71" s="5"/>
      <c r="P71" s="3"/>
    </row>
    <row r="72" spans="2:16" ht="13.2" x14ac:dyDescent="0.25">
      <c r="B72" s="3"/>
      <c r="C72" s="4"/>
      <c r="D72" s="4"/>
      <c r="E72" s="4"/>
      <c r="F72" s="4"/>
      <c r="N72" s="5"/>
      <c r="P72" s="3"/>
    </row>
    <row r="73" spans="2:16" ht="13.2" x14ac:dyDescent="0.25">
      <c r="B73" s="3"/>
      <c r="C73" s="4"/>
      <c r="D73" s="4"/>
      <c r="E73" s="4"/>
      <c r="F73" s="4"/>
      <c r="N73" s="5"/>
      <c r="P73" s="3"/>
    </row>
    <row r="74" spans="2:16" ht="13.2" x14ac:dyDescent="0.25">
      <c r="B74" s="3"/>
      <c r="C74" s="4"/>
      <c r="D74" s="4"/>
      <c r="E74" s="4"/>
      <c r="F74" s="4"/>
      <c r="N74" s="5"/>
      <c r="P74" s="3"/>
    </row>
    <row r="75" spans="2:16" ht="13.2" x14ac:dyDescent="0.25">
      <c r="B75" s="3"/>
      <c r="C75" s="4"/>
      <c r="D75" s="4"/>
      <c r="E75" s="4"/>
      <c r="F75" s="4"/>
      <c r="N75" s="5"/>
      <c r="P75" s="3"/>
    </row>
    <row r="76" spans="2:16" ht="13.2" x14ac:dyDescent="0.25">
      <c r="B76" s="3"/>
      <c r="C76" s="4"/>
      <c r="D76" s="4"/>
      <c r="E76" s="4"/>
      <c r="F76" s="4"/>
      <c r="N76" s="5"/>
      <c r="P76" s="3"/>
    </row>
    <row r="77" spans="2:16" ht="13.2" x14ac:dyDescent="0.25">
      <c r="B77" s="3"/>
      <c r="C77" s="4"/>
      <c r="D77" s="4"/>
      <c r="E77" s="4"/>
      <c r="F77" s="4"/>
      <c r="N77" s="5"/>
      <c r="P77" s="3"/>
    </row>
    <row r="78" spans="2:16" ht="13.2" x14ac:dyDescent="0.25">
      <c r="B78" s="3"/>
      <c r="C78" s="4"/>
      <c r="D78" s="4"/>
      <c r="E78" s="4"/>
      <c r="F78" s="4"/>
      <c r="N78" s="5"/>
      <c r="P78" s="3"/>
    </row>
    <row r="79" spans="2:16" ht="13.2" x14ac:dyDescent="0.25">
      <c r="B79" s="3"/>
      <c r="C79" s="4"/>
      <c r="D79" s="4"/>
      <c r="E79" s="4"/>
      <c r="F79" s="4"/>
      <c r="N79" s="5"/>
      <c r="P79" s="3"/>
    </row>
    <row r="80" spans="2:16" ht="13.2" x14ac:dyDescent="0.25">
      <c r="B80" s="3"/>
      <c r="C80" s="4"/>
      <c r="D80" s="4"/>
      <c r="E80" s="4"/>
      <c r="F80" s="4"/>
      <c r="N80" s="5"/>
      <c r="P80" s="3"/>
    </row>
    <row r="81" spans="2:16" ht="13.2" x14ac:dyDescent="0.25">
      <c r="B81" s="3"/>
      <c r="C81" s="4"/>
      <c r="D81" s="4"/>
      <c r="E81" s="4"/>
      <c r="F81" s="4"/>
      <c r="N81" s="5"/>
      <c r="P81" s="3"/>
    </row>
    <row r="82" spans="2:16" ht="13.2" x14ac:dyDescent="0.25">
      <c r="B82" s="3"/>
      <c r="C82" s="4"/>
      <c r="D82" s="4"/>
      <c r="E82" s="4"/>
      <c r="F82" s="4"/>
      <c r="N82" s="5"/>
      <c r="P82" s="3"/>
    </row>
    <row r="83" spans="2:16" ht="13.2" x14ac:dyDescent="0.25">
      <c r="B83" s="3"/>
      <c r="C83" s="4"/>
      <c r="D83" s="4"/>
      <c r="E83" s="4"/>
      <c r="F83" s="4"/>
      <c r="N83" s="5"/>
      <c r="P83" s="3"/>
    </row>
    <row r="84" spans="2:16" ht="13.2" x14ac:dyDescent="0.25">
      <c r="B84" s="3"/>
      <c r="C84" s="4"/>
      <c r="D84" s="4"/>
      <c r="E84" s="4"/>
      <c r="F84" s="4"/>
      <c r="N84" s="5"/>
      <c r="P84" s="3"/>
    </row>
    <row r="85" spans="2:16" ht="13.2" x14ac:dyDescent="0.25">
      <c r="B85" s="3"/>
      <c r="C85" s="4"/>
      <c r="D85" s="4"/>
      <c r="E85" s="4"/>
      <c r="F85" s="4"/>
      <c r="N85" s="5"/>
      <c r="P85" s="3"/>
    </row>
    <row r="86" spans="2:16" ht="13.2" x14ac:dyDescent="0.25">
      <c r="B86" s="3"/>
      <c r="C86" s="4"/>
      <c r="D86" s="4"/>
      <c r="E86" s="4"/>
      <c r="F86" s="4"/>
      <c r="N86" s="5"/>
      <c r="P86" s="3"/>
    </row>
    <row r="87" spans="2:16" ht="13.2" x14ac:dyDescent="0.25">
      <c r="B87" s="3"/>
      <c r="C87" s="4"/>
      <c r="D87" s="4"/>
      <c r="E87" s="4"/>
      <c r="F87" s="4"/>
      <c r="N87" s="5"/>
      <c r="P87" s="3"/>
    </row>
    <row r="88" spans="2:16" ht="13.2" x14ac:dyDescent="0.25">
      <c r="B88" s="3"/>
      <c r="C88" s="4"/>
      <c r="D88" s="4"/>
      <c r="E88" s="4"/>
      <c r="F88" s="4"/>
      <c r="N88" s="5"/>
      <c r="P88" s="3"/>
    </row>
    <row r="89" spans="2:16" ht="13.2" x14ac:dyDescent="0.25">
      <c r="B89" s="3"/>
      <c r="C89" s="4"/>
      <c r="D89" s="4"/>
      <c r="E89" s="4"/>
      <c r="F89" s="4"/>
      <c r="N89" s="5"/>
      <c r="P89" s="3"/>
    </row>
    <row r="90" spans="2:16" ht="13.2" x14ac:dyDescent="0.25">
      <c r="B90" s="3"/>
      <c r="C90" s="4"/>
      <c r="D90" s="4"/>
      <c r="E90" s="4"/>
      <c r="F90" s="4"/>
      <c r="N90" s="5"/>
      <c r="P90" s="3"/>
    </row>
    <row r="91" spans="2:16" ht="13.2" x14ac:dyDescent="0.25">
      <c r="B91" s="3"/>
      <c r="C91" s="4"/>
      <c r="D91" s="4"/>
      <c r="E91" s="4"/>
      <c r="F91" s="4"/>
      <c r="N91" s="5"/>
      <c r="P91" s="3"/>
    </row>
    <row r="92" spans="2:16" ht="13.2" x14ac:dyDescent="0.25">
      <c r="B92" s="3"/>
      <c r="C92" s="4"/>
      <c r="D92" s="4"/>
      <c r="E92" s="4"/>
      <c r="F92" s="4"/>
      <c r="N92" s="5"/>
      <c r="P92" s="3"/>
    </row>
    <row r="93" spans="2:16" ht="13.2" x14ac:dyDescent="0.25">
      <c r="B93" s="3"/>
      <c r="C93" s="4"/>
      <c r="D93" s="4"/>
      <c r="E93" s="4"/>
      <c r="F93" s="4"/>
      <c r="N93" s="5"/>
      <c r="P93" s="3"/>
    </row>
    <row r="94" spans="2:16" ht="13.2" x14ac:dyDescent="0.25">
      <c r="B94" s="3"/>
      <c r="C94" s="4"/>
      <c r="D94" s="4"/>
      <c r="E94" s="4"/>
      <c r="F94" s="4"/>
      <c r="N94" s="5"/>
      <c r="P94" s="3"/>
    </row>
    <row r="95" spans="2:16" ht="13.2" x14ac:dyDescent="0.25">
      <c r="B95" s="3"/>
      <c r="C95" s="4"/>
      <c r="D95" s="4"/>
      <c r="E95" s="4"/>
      <c r="F95" s="4"/>
      <c r="N95" s="5"/>
      <c r="P95" s="3"/>
    </row>
    <row r="96" spans="2:16" ht="13.2" x14ac:dyDescent="0.25">
      <c r="B96" s="3"/>
      <c r="C96" s="4"/>
      <c r="D96" s="4"/>
      <c r="E96" s="4"/>
      <c r="F96" s="4"/>
      <c r="N96" s="5"/>
      <c r="P96" s="3"/>
    </row>
    <row r="97" spans="2:16" ht="13.2" x14ac:dyDescent="0.25">
      <c r="B97" s="3"/>
      <c r="C97" s="4"/>
      <c r="D97" s="4"/>
      <c r="E97" s="4"/>
      <c r="F97" s="4"/>
      <c r="N97" s="5"/>
      <c r="P97" s="3"/>
    </row>
    <row r="98" spans="2:16" ht="13.2" x14ac:dyDescent="0.25">
      <c r="B98" s="3"/>
      <c r="C98" s="4"/>
      <c r="D98" s="4"/>
      <c r="E98" s="4"/>
      <c r="F98" s="4"/>
      <c r="N98" s="5"/>
      <c r="P98" s="3"/>
    </row>
    <row r="99" spans="2:16" ht="13.2" x14ac:dyDescent="0.25">
      <c r="B99" s="3"/>
      <c r="C99" s="4"/>
      <c r="D99" s="4"/>
      <c r="E99" s="4"/>
      <c r="F99" s="4"/>
      <c r="N99" s="5"/>
      <c r="P99" s="3"/>
    </row>
    <row r="100" spans="2:16" ht="13.2" x14ac:dyDescent="0.25">
      <c r="B100" s="3"/>
      <c r="C100" s="4"/>
      <c r="D100" s="4"/>
      <c r="E100" s="4"/>
      <c r="F100" s="4"/>
      <c r="N100" s="5"/>
      <c r="P100" s="3"/>
    </row>
    <row r="101" spans="2:16" ht="13.2" x14ac:dyDescent="0.25">
      <c r="B101" s="3"/>
      <c r="C101" s="4"/>
      <c r="D101" s="4"/>
      <c r="E101" s="4"/>
      <c r="F101" s="4"/>
      <c r="N101" s="5"/>
      <c r="P101" s="3"/>
    </row>
    <row r="102" spans="2:16" ht="13.2" x14ac:dyDescent="0.25">
      <c r="B102" s="3"/>
      <c r="C102" s="4"/>
      <c r="D102" s="4"/>
      <c r="E102" s="4"/>
      <c r="F102" s="4"/>
      <c r="N102" s="5"/>
      <c r="P102" s="3"/>
    </row>
    <row r="103" spans="2:16" ht="13.2" x14ac:dyDescent="0.25">
      <c r="B103" s="3"/>
      <c r="C103" s="4"/>
      <c r="D103" s="4"/>
      <c r="E103" s="4"/>
      <c r="F103" s="4"/>
      <c r="N103" s="5"/>
      <c r="P103" s="3"/>
    </row>
  </sheetData>
  <mergeCells count="1">
    <mergeCell ref="A1:Q1"/>
  </mergeCells>
  <phoneticPr fontId="5" type="noConversion"/>
  <hyperlinks>
    <hyperlink ref="I3" r:id="rId1" xr:uid="{287E7974-B270-475C-A563-B74C798006B6}"/>
    <hyperlink ref="I7" r:id="rId2" xr:uid="{A37E8743-46A3-46D5-BA37-3C71D6E1AB11}"/>
    <hyperlink ref="J7" r:id="rId3" xr:uid="{194C9E9A-55F0-4F33-ACBB-831E114278F8}"/>
    <hyperlink ref="I12" r:id="rId4" xr:uid="{07F3F95B-05A3-48BC-BCB1-9A46A461882B}"/>
    <hyperlink ref="J12" r:id="rId5" xr:uid="{5FBEBB8D-AD46-4365-88E2-69E759B2808F}"/>
    <hyperlink ref="I15" r:id="rId6" xr:uid="{69561FF4-1B30-4CDD-90C9-A6EA6F41134A}"/>
    <hyperlink ref="J15" r:id="rId7" xr:uid="{06CCEEFA-4610-487D-BAF5-53A2CBC65ED9}"/>
    <hyperlink ref="I16" r:id="rId8" xr:uid="{491DBF95-62D2-471F-B565-6B02F68C2EE2}"/>
    <hyperlink ref="J16" r:id="rId9" xr:uid="{E1B45978-E7EB-4D5C-8DAA-7913586D7525}"/>
    <hyperlink ref="J18" r:id="rId10" xr:uid="{E34C154A-CD6B-40E2-9CD2-B3A3CF308B65}"/>
    <hyperlink ref="I19" r:id="rId11" xr:uid="{30400248-B13D-4579-A3E0-F051B1BB48AB}"/>
    <hyperlink ref="J19" r:id="rId12" xr:uid="{45F7BE6F-1070-4954-97D4-B036EA44875E}"/>
    <hyperlink ref="I11" r:id="rId13" xr:uid="{A4B9C49A-EAB9-4557-BD8F-006D062C1362}"/>
    <hyperlink ref="I9" r:id="rId14" xr:uid="{5E752414-D6EF-4115-8988-8924FD4C7E4E}"/>
    <hyperlink ref="J9" r:id="rId15" xr:uid="{714EA7AE-0BA0-4173-9C6F-BC325C4AC602}"/>
    <hyperlink ref="J4" r:id="rId16" xr:uid="{5F1631B9-67C3-4BA3-860A-BEB2BE83298D}"/>
    <hyperlink ref="I4" r:id="rId17" xr:uid="{97F8E5F9-501E-4155-9E1C-4EFB508BA0A8}"/>
    <hyperlink ref="I18" r:id="rId18" xr:uid="{DDC9EFA3-D93F-4F1E-B689-467162B6C196}"/>
    <hyperlink ref="J11" r:id="rId19" xr:uid="{DF3EABA8-9C53-4C83-9EB7-70A92DA241DD}"/>
    <hyperlink ref="I10" r:id="rId20" xr:uid="{9E53FD91-363F-4674-A20D-1B94EDDC6795}"/>
    <hyperlink ref="J10" r:id="rId21" xr:uid="{B8652FD1-79A0-473B-AD49-F1BF9E455B0E}"/>
    <hyperlink ref="J17" r:id="rId22" xr:uid="{E4C92404-2AD8-4E2C-92CC-85BADAE4FAD6}"/>
    <hyperlink ref="I8" r:id="rId23" xr:uid="{B4192879-2C9A-4F0F-A9D6-54E80214D7D6}"/>
    <hyperlink ref="J8" r:id="rId24" xr:uid="{DFC246A2-3403-40FC-A58D-F6AB96E7DB3C}"/>
    <hyperlink ref="I6" r:id="rId25" xr:uid="{1198200C-4DA4-472F-9FE2-136D7A1C9574}"/>
    <hyperlink ref="I14" r:id="rId26" display="DigiKey" xr:uid="{2DAC0537-034E-4320-9C05-22F628CF8340}"/>
    <hyperlink ref="J14" r:id="rId27" xr:uid="{14E38AD9-1DB2-4F31-9B88-E96B9FC7FB54}"/>
    <hyperlink ref="J13" r:id="rId28" xr:uid="{0B148E2F-9B22-4B55-9BED-BF360660F95A}"/>
    <hyperlink ref="J3" r:id="rId29" xr:uid="{FCE83F93-DEC0-4871-B770-26089697E837}"/>
    <hyperlink ref="I5" r:id="rId30" xr:uid="{020A6325-2C46-497F-8BF3-0E96A8966196}"/>
    <hyperlink ref="J5" r:id="rId31" xr:uid="{3ED7B08F-ACE0-428B-980C-34BE9F59C19F}"/>
    <hyperlink ref="J6" r:id="rId32" xr:uid="{D5490F52-7159-42D7-8F62-483C66274834}"/>
    <hyperlink ref="I13" r:id="rId33" xr:uid="{68D7D09C-F351-4CB5-8150-652AD8CCEF6D}"/>
    <hyperlink ref="I17" r:id="rId34" xr:uid="{390F8AAE-64C9-4E2D-9964-A042185E8780}"/>
    <hyperlink ref="J20:J29" r:id="rId35" display="Datasheet Link" xr:uid="{40D892AE-2800-4E7F-AB2A-A2D3064A8173}"/>
    <hyperlink ref="I20" r:id="rId36" xr:uid="{E53050BD-6C79-4DBF-8886-F9BB6A1FD7E5}"/>
    <hyperlink ref="J20" r:id="rId37" xr:uid="{B3320125-B9AF-4F75-AFA5-8256569BD06F}"/>
    <hyperlink ref="I21" r:id="rId38" xr:uid="{AA64460B-4D07-498D-9CDA-C1B43BD30270}"/>
    <hyperlink ref="J21" r:id="rId39" xr:uid="{60B21CEE-C681-418D-9336-5F88A8FA3B4B}"/>
    <hyperlink ref="I22" r:id="rId40" xr:uid="{849489FA-B2BD-48E1-BCDA-DAD362CE24FD}"/>
    <hyperlink ref="J22" r:id="rId41" xr:uid="{1C3FD2DB-FC4B-4185-9E1A-23D3C393895C}"/>
    <hyperlink ref="I23" r:id="rId42" xr:uid="{2BEBC0C9-EB47-4C57-A254-1D5B8B10AC07}"/>
    <hyperlink ref="J23" r:id="rId43" xr:uid="{79946336-3C8F-4790-B453-3F83798135F3}"/>
    <hyperlink ref="I24" r:id="rId44" xr:uid="{F8936722-60B6-4B9F-8D00-5A177B71C3C1}"/>
    <hyperlink ref="J24" r:id="rId45" xr:uid="{E87F4125-C71C-4E1C-BD41-09BEE5D9E87B}"/>
    <hyperlink ref="I25" r:id="rId46" xr:uid="{80ED6DA6-E9D9-455E-AF56-66029456D415}"/>
    <hyperlink ref="J25" r:id="rId47" xr:uid="{DC50790B-E998-4C77-B68E-9867CB6974C0}"/>
    <hyperlink ref="I26" r:id="rId48" xr:uid="{954BBA12-71BB-4DF6-A0D5-339B240FCC03}"/>
    <hyperlink ref="J26" r:id="rId49" xr:uid="{3D9EF26A-E8D9-4D99-B620-17935B3382DA}"/>
    <hyperlink ref="I27" r:id="rId50" xr:uid="{7D08ACDD-2331-4D2E-9C6D-D8470A214469}"/>
    <hyperlink ref="J27" r:id="rId51" xr:uid="{A0A08EE7-B112-41C2-BFF4-8173E4DAB127}"/>
    <hyperlink ref="I29" r:id="rId52" xr:uid="{979FD806-D915-4570-9C8F-6E9C0806A306}"/>
    <hyperlink ref="J29" r:id="rId53" xr:uid="{F6EFA5BA-064F-4D19-8C9A-CE479990FC81}"/>
    <hyperlink ref="I28" r:id="rId54" xr:uid="{5FC897DD-9845-4607-942E-B622F1F471DC}"/>
    <hyperlink ref="J28" r:id="rId55" xr:uid="{1FE45E72-7749-4555-8C54-8B7BFC4FA1DF}"/>
    <hyperlink ref="I30" r:id="rId56" xr:uid="{DBE97EAD-23B0-4017-AF8F-F19E1FE09F36}"/>
    <hyperlink ref="J30" r:id="rId57" xr:uid="{91E53108-DF66-48D7-AC52-5BD2BC7088BF}"/>
    <hyperlink ref="I31" r:id="rId58" xr:uid="{C777742C-4CA5-4985-BCB5-590E5D62DA1B}"/>
    <hyperlink ref="J31" r:id="rId59" xr:uid="{1F5DC10D-78A6-47EA-889A-3B31333BDEB0}"/>
  </hyperlinks>
  <pageMargins left="0.25" right="0.25" top="0.75" bottom="0.75" header="0.3" footer="0.3"/>
  <pageSetup scale="47" orientation="landscape" r:id="rId6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97fe88-f542-4e37-8c61-f4dd079c9af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FA5D736AD5EE4DB2DF8951B931C6DD" ma:contentTypeVersion="11" ma:contentTypeDescription="Create a new document." ma:contentTypeScope="" ma:versionID="ed357d167bcb2a86ae101a99c05677c1">
  <xsd:schema xmlns:xsd="http://www.w3.org/2001/XMLSchema" xmlns:xs="http://www.w3.org/2001/XMLSchema" xmlns:p="http://schemas.microsoft.com/office/2006/metadata/properties" xmlns:ns3="5d97fe88-f542-4e37-8c61-f4dd079c9aff" xmlns:ns4="0338a30c-099d-4c29-b174-adf8cd2e2a3f" targetNamespace="http://schemas.microsoft.com/office/2006/metadata/properties" ma:root="true" ma:fieldsID="b769b719d1d5b9a885cd5e97d8b0735c" ns3:_="" ns4:_="">
    <xsd:import namespace="5d97fe88-f542-4e37-8c61-f4dd079c9aff"/>
    <xsd:import namespace="0338a30c-099d-4c29-b174-adf8cd2e2a3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7fe88-f542-4e37-8c61-f4dd079c9a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38a30c-099d-4c29-b174-adf8cd2e2a3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61608E-CE85-485C-AE4C-154C30F28FFE}">
  <ds:schemaRefs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0338a30c-099d-4c29-b174-adf8cd2e2a3f"/>
    <ds:schemaRef ds:uri="5d97fe88-f542-4e37-8c61-f4dd079c9aff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C5CBC5-57AD-4D87-A354-3164060288FD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5d97fe88-f542-4e37-8c61-f4dd079c9aff"/>
    <ds:schemaRef ds:uri="0338a30c-099d-4c29-b174-adf8cd2e2a3f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DC4FFC-6784-4A7E-9325-67EFC79938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Donovan Calderon</dc:creator>
  <cp:keywords/>
  <dc:description/>
  <cp:lastModifiedBy>Donovan Calderon (Student)</cp:lastModifiedBy>
  <cp:revision/>
  <cp:lastPrinted>2026-03-16T01:07:21Z</cp:lastPrinted>
  <dcterms:created xsi:type="dcterms:W3CDTF">2025-10-31T21:54:47Z</dcterms:created>
  <dcterms:modified xsi:type="dcterms:W3CDTF">2026-03-16T01:07:49Z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0x010100B3FA5D736AD5EE4DB2DF8951B931C6DD</vt:lpwstr>
  </property>
</Properties>
</file>